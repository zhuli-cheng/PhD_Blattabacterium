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zhulicheng/Desktop/alignments/"/>
    </mc:Choice>
  </mc:AlternateContent>
  <xr:revisionPtr revIDLastSave="0" documentId="13_ncr:1_{58AEF07D-3EB8-3B40-9DDB-78938D5C1009}" xr6:coauthVersionLast="47" xr6:coauthVersionMax="47" xr10:uidLastSave="{00000000-0000-0000-0000-000000000000}"/>
  <bookViews>
    <workbookView xWindow="0" yWindow="500" windowWidth="28800" windowHeight="16280" activeTab="4" xr2:uid="{58C7BDD4-9E21-7643-A7BE-C4A09ADE2653}"/>
  </bookViews>
  <sheets>
    <sheet name="within orthogroups152" sheetId="1" r:id="rId1"/>
    <sheet name="between orthogroups152" sheetId="3" r:id="rId2"/>
    <sheet name="paralogs152" sheetId="4" r:id="rId3"/>
    <sheet name="rename" sheetId="2" r:id="rId4"/>
    <sheet name="multiple_orthogroups245" sheetId="5" r:id="rId5"/>
    <sheet name="no_annotation245 (chromosomes)" sheetId="6" r:id="rId6"/>
    <sheet name="long_genes245(chromosome)" sheetId="7" r:id="rId7"/>
  </sheets>
  <definedNames>
    <definedName name="_xlnm._FilterDatabase" localSheetId="6" hidden="1">'long_genes245(chromosome)'!$A$1:$R$198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5" l="1"/>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2" i="5"/>
  <c r="R6" i="7"/>
  <c r="R7" i="7"/>
  <c r="R8" i="7"/>
  <c r="R9" i="7"/>
  <c r="R10" i="7"/>
  <c r="R11" i="7"/>
  <c r="R12" i="7"/>
  <c r="R13" i="7"/>
  <c r="R14" i="7"/>
  <c r="R15" i="7"/>
  <c r="R16" i="7"/>
  <c r="R17" i="7"/>
  <c r="R18" i="7"/>
  <c r="R19" i="7"/>
  <c r="R20" i="7"/>
  <c r="R21" i="7"/>
  <c r="R22" i="7"/>
  <c r="R23" i="7"/>
  <c r="R24" i="7"/>
  <c r="R25" i="7"/>
  <c r="R26" i="7"/>
  <c r="R27" i="7"/>
  <c r="R28" i="7"/>
  <c r="R29" i="7"/>
  <c r="R30" i="7"/>
  <c r="R31" i="7"/>
  <c r="R32" i="7"/>
  <c r="R33" i="7"/>
  <c r="R34" i="7"/>
  <c r="R35" i="7"/>
  <c r="R36" i="7"/>
  <c r="R37" i="7"/>
  <c r="R38" i="7"/>
  <c r="R39" i="7"/>
  <c r="R40" i="7"/>
  <c r="R41" i="7"/>
  <c r="R42" i="7"/>
  <c r="R43" i="7"/>
  <c r="R44" i="7"/>
  <c r="R45" i="7"/>
  <c r="R46" i="7"/>
  <c r="R47" i="7"/>
  <c r="R48" i="7"/>
  <c r="R49" i="7"/>
  <c r="R50" i="7"/>
  <c r="R51" i="7"/>
  <c r="R52" i="7"/>
  <c r="R53" i="7"/>
  <c r="R54" i="7"/>
  <c r="R55" i="7"/>
  <c r="R56" i="7"/>
  <c r="R57" i="7"/>
  <c r="R58" i="7"/>
  <c r="R59" i="7"/>
  <c r="R60" i="7"/>
  <c r="R61" i="7"/>
  <c r="R62" i="7"/>
  <c r="R63" i="7"/>
  <c r="R64" i="7"/>
  <c r="R65" i="7"/>
  <c r="R66" i="7"/>
  <c r="R67" i="7"/>
  <c r="R68" i="7"/>
  <c r="R69" i="7"/>
  <c r="R70" i="7"/>
  <c r="R71" i="7"/>
  <c r="R72" i="7"/>
  <c r="R73" i="7"/>
  <c r="R74" i="7"/>
  <c r="R75" i="7"/>
  <c r="R76" i="7"/>
  <c r="R77" i="7"/>
  <c r="R78" i="7"/>
  <c r="R79" i="7"/>
  <c r="R80" i="7"/>
  <c r="R81" i="7"/>
  <c r="R82" i="7"/>
  <c r="R83" i="7"/>
  <c r="R84" i="7"/>
  <c r="R85" i="7"/>
  <c r="R86" i="7"/>
  <c r="R87" i="7"/>
  <c r="R88" i="7"/>
  <c r="R89" i="7"/>
  <c r="R90" i="7"/>
  <c r="R91" i="7"/>
  <c r="R92" i="7"/>
  <c r="R93" i="7"/>
  <c r="R94" i="7"/>
  <c r="R95" i="7"/>
  <c r="R96" i="7"/>
  <c r="R97" i="7"/>
  <c r="R98" i="7"/>
  <c r="R99" i="7"/>
  <c r="R100" i="7"/>
  <c r="R101" i="7"/>
  <c r="R102" i="7"/>
  <c r="R103" i="7"/>
  <c r="R104" i="7"/>
  <c r="R105" i="7"/>
  <c r="R106" i="7"/>
  <c r="R107" i="7"/>
  <c r="R108" i="7"/>
  <c r="R109" i="7"/>
  <c r="R110" i="7"/>
  <c r="R111" i="7"/>
  <c r="R112" i="7"/>
  <c r="R113" i="7"/>
  <c r="R114" i="7"/>
  <c r="R115" i="7"/>
  <c r="R116" i="7"/>
  <c r="R117" i="7"/>
  <c r="R118" i="7"/>
  <c r="R119" i="7"/>
  <c r="R120" i="7"/>
  <c r="R121" i="7"/>
  <c r="R122" i="7"/>
  <c r="R123" i="7"/>
  <c r="R124" i="7"/>
  <c r="R125" i="7"/>
  <c r="R126" i="7"/>
  <c r="R127" i="7"/>
  <c r="R128" i="7"/>
  <c r="R129" i="7"/>
  <c r="R130" i="7"/>
  <c r="R131" i="7"/>
  <c r="R132" i="7"/>
  <c r="R133" i="7"/>
  <c r="R134" i="7"/>
  <c r="R135" i="7"/>
  <c r="R136" i="7"/>
  <c r="R137" i="7"/>
  <c r="R138" i="7"/>
  <c r="R139" i="7"/>
  <c r="R140" i="7"/>
  <c r="R141" i="7"/>
  <c r="R142" i="7"/>
  <c r="R143" i="7"/>
  <c r="R144" i="7"/>
  <c r="R145" i="7"/>
  <c r="R146" i="7"/>
  <c r="R147" i="7"/>
  <c r="R148" i="7"/>
  <c r="R149" i="7"/>
  <c r="R150" i="7"/>
  <c r="R151" i="7"/>
  <c r="R152" i="7"/>
  <c r="R153" i="7"/>
  <c r="R154" i="7"/>
  <c r="R155" i="7"/>
  <c r="R156" i="7"/>
  <c r="R157" i="7"/>
  <c r="R158" i="7"/>
  <c r="R159" i="7"/>
  <c r="R160" i="7"/>
  <c r="R161" i="7"/>
  <c r="R162" i="7"/>
  <c r="R163" i="7"/>
  <c r="R164" i="7"/>
  <c r="R165" i="7"/>
  <c r="R166" i="7"/>
  <c r="R167" i="7"/>
  <c r="R168" i="7"/>
  <c r="R169" i="7"/>
  <c r="R170" i="7"/>
  <c r="R171" i="7"/>
  <c r="R172" i="7"/>
  <c r="R173" i="7"/>
  <c r="R174" i="7"/>
  <c r="R175" i="7"/>
  <c r="R176" i="7"/>
  <c r="R177" i="7"/>
  <c r="R178" i="7"/>
  <c r="R179" i="7"/>
  <c r="R180" i="7"/>
  <c r="R181" i="7"/>
  <c r="R182" i="7"/>
  <c r="R183" i="7"/>
  <c r="R184" i="7"/>
  <c r="R185" i="7"/>
  <c r="R186" i="7"/>
  <c r="R187" i="7"/>
  <c r="R188" i="7"/>
  <c r="R189" i="7"/>
  <c r="R190" i="7"/>
  <c r="R191" i="7"/>
  <c r="R192" i="7"/>
  <c r="R193" i="7"/>
  <c r="R194" i="7"/>
  <c r="R195" i="7"/>
  <c r="R196" i="7"/>
  <c r="R197" i="7"/>
  <c r="R198" i="7"/>
  <c r="R3" i="7"/>
  <c r="R2" i="7"/>
</calcChain>
</file>

<file path=xl/sharedStrings.xml><?xml version="1.0" encoding="utf-8"?>
<sst xmlns="http://schemas.openxmlformats.org/spreadsheetml/2006/main" count="4038" uniqueCount="1384">
  <si>
    <t>MFFNIKIIPNILTSLNLFSGCISIITLQSENFNLSIVFSVLSIIFDYFDGIISRKININNNNFGKELDSLSDIISFGVVPSITVFILLKKTILTSFHIEWSAFFISVFSACRLARFNIRKNNKKVYGLTTPVNTLFFSSLSIIINNISFFFKKIIYSPITLLFLIFLSCYFLNSKIPMISFNFNGYSWKKNKYRYIFLLISLFLLLTLHVVAIPLIIIFYIVESIYLNTKIYTIKTQNI--------------MKLILHRPICFFDIEATGINIGKDRIIEISILKIFPNG-NKEDKTWLIYPEMPIPSQSTAIHGIKDEDVIGKPIFKDIASFIFRMIENTDLAGYNSNRFDIPILAEEMLRAGI-SFDIKKYKTIDVQVIFHKMEPRTLSAAYKYYCNKDLIKAHSSKADVIATYEVLLSQLDKYKNLKKDVKSLNQFSYQKNIADLAGFIKIDDNKNEIFNFGKYKGEKVIDIFEKDPGYYNWIQNSEFPLYTKKIFTEVK-LRKFNK-------NKK--L</t>
  </si>
  <si>
    <t>IIMNIGIIGLGLIGGSIGLKLKKYNFAKKLIGMDSNHDNAMHAIKLGIVDEINSLHDLVIKSSVIILSIPVNVIEKILPIILNKIGKNSVVLDTGSTKKDICNSILYHSKRSRFVATHPIAGIEESGPIAASSELFYKKNCIICDYQLSDSKAISIAKKIYSIMGMKIIYMTSEEHDLYISYISHLPHVISFSLANTILKKFKNKKKIFYKMMGGGIISTTRLAKSNPETWTPIFLSNRDNIIKSMDSYINSLEKLRNYLFKKKSNKLLRYIKKANDIKKK----ICV-----IMN---NKN--KIDRTWIE-KW-DK-PFIISGPCSAENEKQIFKTANEL-Y-ST---G--LIQVFRAGIWKPRTKPNTFEGVGKIGLKWLRKVKKN-IGLMVATEVANEEHVKNSLFFGVDVLWIGARSTASPFTIQEIADA--IVKY-KEK-NDP-IILIKNPIHPDLDLWIGAIERFLIKGIRKIGVIHRGFFTYKHFKYRNQPKWNILLELKKYFSNIPIICDPSHICGNKNGIYDVSKKAFH-FPCDGLMIECHFDPDNALSDAQQQIKPKKLVDILKKL--D--L-F-----K-----------N--N--NEK--N-LDSLRILIDEIDENIISLLSDRMTIVKKLGSLKKCSDISIFQPKRWKHIMNKYIDLGRSLGISENILKNIFKILHEESIK--I-QNE--I----KK--</t>
  </si>
  <si>
    <t>&gt;CDS:BOR_I01590</t>
  </si>
  <si>
    <t>I---------------------IMKRALISVYEKNEELFDFISFLDKKEYQIISTGGTFQYLKKH-GISNLLEISDLIS--FPE-MLDGRIKTIHPNIYAGILANRSMEKHMKFIRFHKIFPIDIVLVNFYPFFEKLYQK----SFTI--NRKNNNNSLMEFIDIGGPSMLRAAAKNFFHVTPITDKHDYFLVKKEIE-KYGFPSLKLRKKLAGKVFNLTSSYDSAISKYLLT-----EENFPTYLHCS-YEKKMNLRYGENPHQKAAYYISTID---QGSMRNFHQLHGKELSFNNLRDMDIAWKVISQF--S--E-PACC-TVKHSTPCGVALGKNIMEAFQKTYSSDPISSFGGILAVNIPIT-KELAK--KINSLFLEVILSP-SYEQEGLNILKM-KKNLRIINIHEP-IS-----DR---LEYVKIDGGILVQEADHLF--YS----DYKIVTKNKFSDQEIRSLFFAQKVVKYVKSNAIVVARGTQTVGISGGQTNRIWAARQAIERA---LE----KTKKK-------------------------------------------------------------KFSTRF</t>
  </si>
  <si>
    <t>-------------------------------------------------------MRFDLRKGFPLLTTKKLDIKSIIYELLWFLKGCTNIKYLINNKVSIWNEWADKNGDLGPIYGFQWRKWPSY---DN-YYIDQINDLIKKIKSNPNSRRLIVSSWNVGMIDSMSIPPCHLLFQVYI--IN--KELSLQLYQRSADIFLGLPFNIASYSLLIIMLSNVLELKVKELIHVIGDAHIYMNHINQVKKQINRKPKKLPTIIINPLIKNIFEYSFKDFKLKNYNPHSHIKGDVAI</t>
  </si>
  <si>
    <t>---------------------------------------------IETISVFGYQMRFDLRKGFPLLTTKKLDIKSIIYELLWFLKGYTNIKYLINNKVSIWNEWADNNGDLGPIYGFQWRKWPTY---DN-SHIDQINNLVKKIKSNPNSRRLIVSSWNVGMIDKMSIPPCHLLFQVYI--IN--KELSLQLYQRSADIFLGLPFNIASYSLLIIMLSNVLELKVKELIHVIGDAHIYINHINQVKKQINRKPKKLPTIIINPSIKNIFEYSFKDFKLKNYNPHSHIKGDVAV</t>
  </si>
  <si>
    <t>MIL--------------------HDMILRIR------NKIKIYTLKKNLKIKSLSLNCCYDLFLLHIITYNTIFKTLFKTLNIKKF--FKKLKNFI--NMFFDTKSIFYEYN-NF--KD-KKI-STYSKI-FRYSELNEII--EKY--K-KIC--IIN--TIGLSVERRKIFKIKWGIGKIKIFIWSQMHGDETTGTKAMFDVLHFLFL---KENY-NEIIEFLFKNLTIFFVPMLNPDGSEFFQRRNAINIDLNRDAIRLQSPEIRILFKEIEKESPNFLFNLHDQKRIYNVDHYKFNPAILSFLSPSI--EYEK------I---NSI-TRMKSMGMIYEISNEIKKVLP--DIGSIGRYSDEHYPTATGDKLQQLGYPCVLIEAGNYPGDDYKEIIRKYNALSILLSFYLLSYK--KVSNIHYNYKCYFSIKKNKNILLDKIYREVKIKKNKYEFLVDIGLMNV-EKFD----FKKNNVISTLKISDIGDLSNFFSYEDIIASGKK-FF---GVT----GKNYP--YI-GEKE---NF--CI--L</t>
  </si>
  <si>
    <t>----------------------------------------------------MDNIDNESLIDSFSDFKYEKKIDRVNLMAILEESLKCVLKKKYDSS-KNYDIIINTDQGDLEIWRNRKVVQDGLVKDINKEIELSKAKKIEKDFEIGEEVTEKVELKSLGRRSILSLKQHLLSKINEHDNTNTYKKFKKKIGEIINVEVYHISHRNIIVRDEDKNEMILPKNEAIKSDFFRKGDIIKTLIKKVEWKNNRPLVILTRKDEKFLEELLKLEIPEISDGLITIKKVSRIHGEKAKVAVESYDDRIDPVGACVGIKGSRIHPIVRELKNENIDIINYTSNIQLYITRAMNPAKIFMMEINEKNKNANVYVKPEEISKAIGKNGQNIKLASKITGYKIHVLEDY-L--Y------D------KNSK-----------------------------------------------------DKNVE-----------I</t>
  </si>
  <si>
    <t>--------------------------------------------------------------------------------------IFFFWKGIAKIVINRPWCHNAFTARTVEEMINAIDICKNDRDIDVVIITGYGEKSFCSGGDQNTRGKGGYLGDDGVPRLNILEFYKKIRELPKPVIAMVNGFAIGGGNVLHIVCDLTIASDDSVFGQSGPKVGSFDGGFGSSYLARCIGQKKTREMWFLCKKYSAKEALKMGMINKVVKKEKLEKITLKWCNIIQRRSPMCIRMIKRSLNAELDGQHGITQLAGDATLMFYLMEESKEGQDAFLEKRNPNFKKFKKF-----L</t>
  </si>
  <si>
    <t>&gt;CDS:BNCIN_I03850</t>
  </si>
  <si>
    <t>------------------------------IRGNAKKGVFLSRGLYGIKALEGAWITSRQLEAARIAATRYMKREGQLWINIFPDKPATKKPQEVRMGKGKGPVEFWVSIVKPGRILFEVNGVELNVAKEALRLAAQKLPIKMKFIYSN----EIK-----L-</t>
  </si>
  <si>
    <t>&gt;CDS:Tryonicus_parvus_I03810</t>
  </si>
  <si>
    <t>LNPQKRIYLKIKKLIIKQISCNLLLNNIICNYYLLKIKYYL-QYIMPTIQQLIRKGRKSSSKKRKSIALDFCPQKRGVCTRVYTTTPKKPNSAMRKVARVRFTNGKEVISYINGEGHNLQEHSIVLVKGGRVKDLPGVKYKVVRGARDTAGVNGRKKSRSKYGAKIEKK-----------------------------G--K</t>
  </si>
  <si>
    <t>&gt;CDS:STAT_I00420</t>
  </si>
  <si>
    <t>---------------------------MKYK--FIKDTFLNFFQKKKHKILPSFPIFSKDD-STLFFVNAGMNPFKDYFLGHVKPEYTRIANVQKCLRITGKHNDLENVGYDDYHHTMFEMLGNWSFGDYSRKETIEWAWELLTKIYHIPNQNIYVSIFIGDKK-DE-LSMDKEAFKYWKTFL-DESHILFFGKKENFWEMGIEGPCGPCSEIHIDLRNEKEKKVLSGKYLINKKHPQVIEIWNLVFIEFIRKS-DGTLEKLPKKHVDTGMGLERLCMILQGKNSSYETDIFYPIIQDIEEKLGNI-Y--NKKNFDQNVSIKIIADHLRAIVFSILDGQLPSNNEAGYVIRKILRRAVILCIRFL--QKKEPFIYKIVDTLVR-EMKSSFS-ELENKKNYIKNIIKEEELSFFSIVEKGSKKIQHIITEHKEKNEKIIHGEKIFQLYDTYGFPMDLSKIIVEKNNLFIDEKSFQKKLSEQKDRSK---KERN--SIL--KKDWIKVH---NN--FH------QN---QN---FVGYE-LIEC--NILILKYRKVEN-----KL-K------NI-HYYELVFSKTPFYPERGGQLGDTGIIK-NEI--DKIDIFDTKIE--N-SIIIHCVQRLPSN-VFSYFKAIVDQNRRKKIEKNHTSTHLLNFALKQILGN-HIQQKGSYVGDDYLRFDFSHYQKIKTQELHKIEDFVQELIFSDLILKIEIFHSLYEAKK-NASN---AFF-----S--E--NFE-KKYK----KKQ--EIRIVNFGKSSELCIGTHVKNTKEIQVFEILSESSISHGVRRIKAITYKNAIQHLKSIRNQYQSL--------------------------------------------------------------------------------------------------------------------------------------------------------------------------------------------------------------------------------------</t>
  </si>
  <si>
    <t>-----I------N--------FKS---MKYK--FIKDTFLNFFQKKKHKILPSFPICSKND-STLFFVNAGMNPFKDYFLGQVKPKYTRIANAQKCLRITGKHNDLENVGYDNYHHTMFEMLGNWSFGDYSRKETIEWAWELLTKIYHIPSQNIYVSVFIGDKK-DE-LSMDKETLKYWKTLL-NESNILFFGKKENFWEMGLEGPCGPCSEIHIDLRNEKEKKILSGRHLINKKHPQVIEIWNLVFIEFIRKP-NGSLEKLPTKHVDTGMGIERLCMVLQGKISSYETDIFYPIIQDIKENLGNI-Y--NKNNLNQNISIRIIADHLRAIVFSVLDGELPSNNGSGYVIRRILRRAVIFYIRFL--CKKEPFIYKFVDSLVR-EMKDSFS-ELEKKKKYIKNIIKEEELSFFNILEKGSKKIQHIINEHKKKDEKIINGEKIFQLYDTYGFPIDLSKMLVEKNNLSIDEKLFQKKLLEQKNRSK---REKN--SIL--KKDWINIH---ND--FH------EN---QN---FVGYE-LIEC--NILILKYRKVEN-----KL-K------KV-HYYELVFSKTPFYPEGGGQLGDTGIIK-NEI--DEIDIFDTKIE--N-SIIIHCVKKLPSN-ISFSFKAIVNQNRRKKIEKNHTSIHLLHFSLKQILGN-HIQQKGSYVGDDYLRFDFSHYQKIKTQELYNIENYVQELIFSNLLLKIRTFHSLHEAKK-NAS------F-----S--E--TFE-EKYK----KKQ--EIRVVSFGKSSELCIGTHVKNTGEIQVFEILSESSISHGIRRIKAITYKKAIQHLKSIRNQYQSLK------------------------------------------------------------------------------------------------------------------------------------------------------------------------------------------------------------------------------------K</t>
  </si>
  <si>
    <t>&gt;CDS:Polyphagoides_I04760</t>
  </si>
  <si>
    <t>I-------------------IFIG------IFVNLMIKM-N-YL-VQE---E-ENKFR-----SNF---K-KNGKIPPQALDLEYAIIGAMMIDKKGLDEIIDILFP-EVFYKKEHQEIFCAIQKLYHHSKPVDIYTVSNQLRKDGKLEFIGGEIYLIELTQKVISSAHIEYHSRIVQQKFILRKLISISSKIIENCYDERTDVFELLDQSESKIFEINQKYLRSKKYESSQTLIAKAIERIKKIGEN-----KN---GLSGISSGFYKMDKVTSGWQNSDLIILASRPGMGKTTFMLSMVRNIVIEQKIPVVIFSLEMSSIQLITRLISSESGISSDKLKKSYFSDLDWKQLFMKTKKLKEAPLFIDDSPSLSIFSLRAKCRRLISQNGIKLILIDYMQLMGGWYN--H-GY---SR-FINREQEISIISRSLKSIAKELDIPIIALSQLSRAVETRGGSKRPLLSDLRESGAIEQDADIVLFIYRPEYYGFNTWDTDE-SDSSCIGQAEIIIAKHRNGVLDKFRVKFISTQSKFMD--F---E-E---KK---MSS--WEKDYQKNILDKESQSKFMDFEEKKMSSWEKDYQKNILDKESQSKFMDFEEKKMSSWEXXXXDYQKNILDKESQSKFMDFEEKKMSSWEEDYQKNILDKESQSKFMDFEEKKMSSW-EE------------DYQKNIL--DKES--LF---VEEKSFLYEYL------------------------IDFK---DPLI---TDEDNFS--SF</t>
  </si>
  <si>
    <t>&gt;CDS:Tryonicus_parvus_I04220</t>
  </si>
  <si>
    <t>--------------------------------------------------------------------------------------------------------------------------M--LMLQRRSSKKYHSSLLWTNTCCTHPIKNETILSAAHRCLIEEMGFDCFLEKKFFFTYYKLLNNGLIENELDHVFVGYYDY--SPIINTKEVDNWKWITLKELIEDIKIYPESYTIWFKIIMNNYLRKIIN-----------------------Y</t>
  </si>
  <si>
    <t>&gt;CDS:Anallacta_I02650</t>
  </si>
  <si>
    <t>--------------------------------------------------------------------------------------------------------------------------------------------------------------------------------------------------------------------MNTIKNIIGIASGKGGVGKSTIAVNLSVSLVKMGFHVGLLDADIYGPSIPLMF--NI--ENITPCQI-----------QH--KNG--IMNPITS-YGVQILSIGFFSKYGQAIVWRGPMVTKVLRQFIHETNWGKLDFLIVDLPPGTGDIHLSILQEI-S---LKGIVIVSTSQKVALSDVNRTLGMFRIKSIYVPILGIIENMSYF--LT---ED--KTKKKWFLFGKDGVKKLSKEMDILFLGEIPILQIIQKYSDLGIPVILENEEIKNIFIKITKNIINQL---------</t>
  </si>
  <si>
    <t>&gt;CDS:BOR_I02620</t>
  </si>
  <si>
    <t>-----------------------------------------------------------------------------------------------------------------MESGIVKKIDVF---HEE--IRIYISLSNPTMHMKKKLGRNIQQA-IK--YQNV----DKKIR----IE---MKL-D---TS-------RKK-------KTEIKNIIAIASGKGGVGKSTIATNISVSLVKMGFHVGLLDADIYGPSIPLMF--NL--EENK-ISS---CI------VQ--KNGTSIMNPITS-YGVKILSLGFFSKSGQAIVWRGPMATKALRQFIHETDWGGLDFLIVDLPPGTGDIHLSLVQEI-P---LKGIVIVSTPQKISLSDVHRSVGMFRLKSIHVPILGIIENMSFF--IP---KD---SKEKYYLFGKNGVKNFSKKMNIFFLGEIPLLQDIRVSSDLGIPVVLQNDSIRKTFVKITKNMIDNLPIV---PLS</t>
  </si>
  <si>
    <t>&gt;CDS:BNCIN_I03950</t>
  </si>
  <si>
    <t>------------------------------------------LVTRFVNHIMKNGKKNTAYNIFYNAMNKIDII----K----------------EK--EEKSALEIWKEGLKNVTPHVEVRSRRMGGSNIQIPAPISSNSKITKAMKLLISCASI-R-TEKTMANKLAYEIWDAFQVQGEAVKRKENIHKMAEANKAFSHFR-F</t>
  </si>
  <si>
    <t>&gt;CDS:Lampoblatta_I00180</t>
  </si>
  <si>
    <t>I-------------------TILLRFFIELAYNGKYYHGWQIQKGN-SSSVEEKLEYCLSKLLKTS-INVVGAGRTDTGVHAKQMFAHF---DF----EQQ-IN-K---N--LIHKLNIFLPNSIHVLNIFPVKKHIHARFHAIKRIYKYYLTCEKNPFFQDFSWFCYY-P-LDIKKMTQASKFLTKYKDFSFFCKK-KNK---------T-NNNICTIYYVNWF----K--Y-NNYLC-FTIEANRFLRSMVRSIIGSLIDVGRKKSVSIN-----------------------------------------L---------</t>
  </si>
  <si>
    <t>----------------------------------------------------------MPDMYYSDAYEPYADPYPNY---KYF--KKIAVTPFIMEETSSMTSVNGTIPRNYYESFSIYTKDN--T-DNGYK-ESK-N-ILESPL--R--HK------NKQ-IMNKILQDGKKIYEINCAICHGNLGDGEGELVNSGKILGVPNYKDRDITVGSIYHVITYGKNNMNSYASQINTLDRWKVSEY-VMFL--KI---K-----K----</t>
  </si>
  <si>
    <t>----------------------------------------------------------MPDMYYSDAYEPYADPYPNY---KYF--KKIAVTPFIIEKTSSITSVNGTIPRNYYESFSIYTKDN--T-DNGYK-ESK-N-ILVSPL--R--HK------NKQ-IMNNILQDGQKIYEINCAICHGNLGDGEGELVNSGKILGVPNYKDRDITVGSIYHVITYGKNNMNSYASQINTLDRWKVAEY-VMFL--KI---K-----K----</t>
  </si>
  <si>
    <t>all Cryptocerci lost one domain?</t>
  </si>
  <si>
    <t>&gt;CDS:BNCIN_I04410</t>
  </si>
  <si>
    <t>----------II----LLNIT-ENKMMN-KNF-IKKTILFNNHIRLGAKMICYSGFYMPLQY-ISSLTEHMFVRNHAGIFDVSHMGKLILKGKHSGEFIQYLTTNDICKIKIGQAQYTCLINDNGGIIDDLVIYKILENKFLLIVNATNIEKNKKWINDHIK--K----YC-DIELIDTSLEYSLLAIQGPLSLFYAQKLT--NIPLNRISYYHFEIGEFSGIKNVLISCTGYTGS-KGIEIYVSNENVEKIWNDILEIG--KSKIIPCGIASRNSLRLEMGYRLYGQDLSEEITPIEANLSWIIKFEK-KFIAKKILQKQKKK---------------------------------------------------------------------------------------------------------------------K----------T-----</t>
  </si>
  <si>
    <t>------------------------------------------------------------------------------IKKKK--IPIYPVSEHN--F--CPIKNKNHQGVFSVISY-INTFKIKELLPNLYKK-KINPFLIILDNITDVRNFGSIVRTSVCSGVNAIIIPNKNTAMINSDSIKTSSGALFKIPICKENNIINSIKFLI-NSGFKIVSTT---I-KSTVNWHNINFLNPTAIIFGNEEKGINEKYIEISSEIIRIP-S--LNK---NISSLNVSVACGIILYEVFRQRKTLK------N---------</t>
  </si>
  <si>
    <t>--------------------MIIKVKVPSPGESINEVEISSWTVKNGEFVYKDQIIAELDSDKATLEITAEQSGII-TIFFEKGKKVSVGEIICHIDT--S--SKT---I-TDTDTLSKTITDTDTSSKTITDTDTLSKTITDTDTSS----KTITDTDTLSKTITDTXLSKTITDTDTSSKTITDTDTLSKTITDTDTSSKTITDTDTSSK---TITD---TDI-LSNN--IK----DH--V--LKWPSPAAKKIIKEKKIIIDDIKNTG-KDGRI-TKQDCINY-I-N--------ELN--K---------------------------------------NKYSP----N----SPNRSYVKTPLSYLRRIISERLVAVKNTTAMLTTFNEVDMTEIILIRNKYNNIFQNKHGIKLGFMSFFTIATIIGLRKFPDINA-MI--S--E-QYKINFNYCDISIAISGPKGLMVPVIRNVENL-SFLEIEKEIIRLATLVKSGQISINDMTGGNFTITNGGVFGSMLSTPIINPPQSAILGMHKIMNRPVVI--------KES-I-IIRPMMYLALSYDHRIIDGKESVGFLCEIKTILENPIKFFM-KGNESNITNILEL--</t>
  </si>
  <si>
    <t>insertion? Repeat?</t>
  </si>
  <si>
    <t>------I------------FMIIKVKVPSPGESITEVEVSTWLVKNGDYVDKGKIIAEIDSDKATLEISAEENGVI-TLIAKKGEKIKVGDVLCIIDT--S--KEC---T-KK--------------------------------IHK----I--------------------------------------------------------------------------------------------------------------------VD-DDENL-INKDYIID---N---------DN--N------------------------S---F---S------NKKIP----I----SISRSKKITTLSSLRRKISERLVSIKNKTATLTTFNEVDMQEIFLIRKKYKNVFKEKHGVNLGFMSFFTISCVKALQKYPDVNA-MI--N--G-EKKINFEYCDISIAISGPKGLMVPVIRNAEHL-SFREIEQKINNLSTRVQNGTISIDEMTGGTFTITNGGVFGSMLSTPIINPPQSAILGMHKIMERPIYV--------NGS-I-EIRPIMYLALSYDHRIIDGRESVGFLVSIKEYIENPIKFLM-DENEKNIPNILEL--</t>
  </si>
  <si>
    <t>loss of a domain?</t>
  </si>
  <si>
    <t>-------------------------VIM--SF-SIKKNLLLEGKTKKIYA-TSNPLEVLIHYKDSITALDGLKSKFLQDKGILNNEISTLIFKLINS--YGIRTHFIRKINNREQLCHKVDIIPLEFVVRNIVAGSISKRLNIQEGIRL--LNPIFEIFYKNDKLKDPFINDHHAVF-LGII-SYEELNAIYNIVSNINNILKEYFLDKNIILVDFKIEFGKNHK-NDILLSDEISPDTCRXYS----------------------------------------QRIFF------R------</t>
  </si>
  <si>
    <t>variable starting position, and loss of it in some strains</t>
  </si>
  <si>
    <t>AU006_S335</t>
  </si>
  <si>
    <t>AU008_S337</t>
  </si>
  <si>
    <t>AU009_S338</t>
  </si>
  <si>
    <t>AU013_S342</t>
  </si>
  <si>
    <t>AU017_S346</t>
  </si>
  <si>
    <t>AU018_S347</t>
  </si>
  <si>
    <t>AU023_S352</t>
  </si>
  <si>
    <t>AU024_S353</t>
  </si>
  <si>
    <t>AU028_S357</t>
  </si>
  <si>
    <t>AU032_S361</t>
  </si>
  <si>
    <t>AU033_S362</t>
  </si>
  <si>
    <t>AU034_S363</t>
  </si>
  <si>
    <t>AU035_S364</t>
  </si>
  <si>
    <t>AU039_S368</t>
  </si>
  <si>
    <t>AU041_S370</t>
  </si>
  <si>
    <t>AU042_S371</t>
  </si>
  <si>
    <t>AU045_S374</t>
  </si>
  <si>
    <t>AU049_S378</t>
  </si>
  <si>
    <t>AU053_S382</t>
  </si>
  <si>
    <t>AU055_S384</t>
  </si>
  <si>
    <t>AU057_S386</t>
  </si>
  <si>
    <t>AU063_S392</t>
  </si>
  <si>
    <t>AU069_S398</t>
  </si>
  <si>
    <t>AU070_S399</t>
  </si>
  <si>
    <t>AU073_S402</t>
  </si>
  <si>
    <t>AU074_S403</t>
  </si>
  <si>
    <t>AU075_S404</t>
  </si>
  <si>
    <t>AU076_S405</t>
  </si>
  <si>
    <t>AU085_S414</t>
  </si>
  <si>
    <t>AU096_S425</t>
  </si>
  <si>
    <t>AU097_S426</t>
  </si>
  <si>
    <t>Allacta-AUS</t>
  </si>
  <si>
    <t>Allacta_bimaculata</t>
  </si>
  <si>
    <t>Amazonina</t>
  </si>
  <si>
    <t>Anallacta</t>
  </si>
  <si>
    <t>Anaplecta_omei</t>
  </si>
  <si>
    <t>BGIGA</t>
  </si>
  <si>
    <t>BL928_S44_L003</t>
  </si>
  <si>
    <t>BL930_S46_L003</t>
  </si>
  <si>
    <t>BL933_S48_L003</t>
  </si>
  <si>
    <t>BL937_S52_L003</t>
  </si>
  <si>
    <t>BL940_S55_L003</t>
  </si>
  <si>
    <t>BNCIN</t>
  </si>
  <si>
    <t>BOR</t>
  </si>
  <si>
    <t>BPAA</t>
  </si>
  <si>
    <t>BPLAN</t>
  </si>
  <si>
    <t>Beybienkoa</t>
  </si>
  <si>
    <t>CAM19_1_C008_CR_S8_L001</t>
  </si>
  <si>
    <t>CAM19_1_C010_CR_S10_L001</t>
  </si>
  <si>
    <t>CAM19_1_C019_CR_S19_L001</t>
  </si>
  <si>
    <t>CAM19_1_C025_CR_S25_L001</t>
  </si>
  <si>
    <t>CAM19_1_C033_CR_S33_L001</t>
  </si>
  <si>
    <t>CAM19_1_C045_CR_S45_L001</t>
  </si>
  <si>
    <t>CAM19_1_C050_CR_S50_L001</t>
  </si>
  <si>
    <t>CAM19_1_C055_CR_S55_L001</t>
  </si>
  <si>
    <t>CAM19_1_C057_CR_S57_L001</t>
  </si>
  <si>
    <t>CAM19_1_C059_CR_S59_L001</t>
  </si>
  <si>
    <t>CAM19_1_C064_CR_S64_L001</t>
  </si>
  <si>
    <t>CAM19_1_C072_CR_S71_L001</t>
  </si>
  <si>
    <t>CAM19_1_C073_CR_S72_L001</t>
  </si>
  <si>
    <t>CAM19_2_C003_CR_S5_L002</t>
  </si>
  <si>
    <t>CAM19_2_C005_CR_S7_L002</t>
  </si>
  <si>
    <t>CAM19_2_C008_CR_S10_L002</t>
  </si>
  <si>
    <t>CAM19_2_C020_CR_S21_L002</t>
  </si>
  <si>
    <t>CAM19_2_C026_CR_S27_L002</t>
  </si>
  <si>
    <t>CAM19_2_C053_CR_S54_L002</t>
  </si>
  <si>
    <t>CAM19_2_C062_CR_S63_L002</t>
  </si>
  <si>
    <t>CAM19_2_C064_CR_S65_L002</t>
  </si>
  <si>
    <t>CAM19_2_C065_CR_S66_L002</t>
  </si>
  <si>
    <t>CAM19_2_C103_CR_S7_L004</t>
  </si>
  <si>
    <t>CAM19_2_C105_CR_S9_L004</t>
  </si>
  <si>
    <t>CAM19_2_C108_CR_S11_L004</t>
  </si>
  <si>
    <t>CAM19_2_C109_CR_S12_L004</t>
  </si>
  <si>
    <t>CAM19_2_C114_CR_S17_L004</t>
  </si>
  <si>
    <t>CAM19_2_C120_CR_S23_L004</t>
  </si>
  <si>
    <t>CAM19_2_C129_CR_S31_L004</t>
  </si>
  <si>
    <t>CAM19_2_C133_CR_S35_L004</t>
  </si>
  <si>
    <t>CAM19_2_C136_CR_S38_L004</t>
  </si>
  <si>
    <t>CAM19_2_C149_CR_S49_L004</t>
  </si>
  <si>
    <t>CAM19_2_C166_CR_S65_L004</t>
  </si>
  <si>
    <t>CAM19_2_C171_CR_S70_L004</t>
  </si>
  <si>
    <t>CCLhc</t>
  </si>
  <si>
    <t>CHORISOSERATA</t>
  </si>
  <si>
    <t>CKYod</t>
  </si>
  <si>
    <t>CPUbr</t>
  </si>
  <si>
    <t>CPUbt</t>
  </si>
  <si>
    <t>CPUlh</t>
  </si>
  <si>
    <t>CPUml</t>
  </si>
  <si>
    <t>CPUpc</t>
  </si>
  <si>
    <t>Carbruneria</t>
  </si>
  <si>
    <t>Cosmozosteria</t>
  </si>
  <si>
    <t>Cyrtotria</t>
  </si>
  <si>
    <t>Deropeltis</t>
  </si>
  <si>
    <t>Duchailluia</t>
  </si>
  <si>
    <t>Ectobius</t>
  </si>
  <si>
    <t>Ectoneura</t>
  </si>
  <si>
    <t>Epilampra_maya</t>
  </si>
  <si>
    <t>Escala</t>
  </si>
  <si>
    <t>Euphyllodromica</t>
  </si>
  <si>
    <t>Eupolyphaga</t>
  </si>
  <si>
    <t>Gromphadorhina_grandidieri</t>
  </si>
  <si>
    <t>Lampoblatta</t>
  </si>
  <si>
    <t>MADAR</t>
  </si>
  <si>
    <t>Macropanesthia</t>
  </si>
  <si>
    <t>Mediastinia_delicatula</t>
  </si>
  <si>
    <t>Megaloblatta</t>
  </si>
  <si>
    <t>Melanozosteria</t>
  </si>
  <si>
    <t>Methana_sp</t>
  </si>
  <si>
    <t>Neolaxta</t>
  </si>
  <si>
    <t>Nyctibora</t>
  </si>
  <si>
    <t>OKE002_S15_L003</t>
  </si>
  <si>
    <t>OKE005_S18_L003</t>
  </si>
  <si>
    <t>OKE009_S22_L003</t>
  </si>
  <si>
    <t>OKE010_S23_L003</t>
  </si>
  <si>
    <t>OKE011_S24_L003</t>
  </si>
  <si>
    <t>OKE016_S29_L003</t>
  </si>
  <si>
    <t>OKE018_S31_L003</t>
  </si>
  <si>
    <t>OKE019_S32_L003</t>
  </si>
  <si>
    <t>OKE025_S38_L003</t>
  </si>
  <si>
    <t>OKE028_S41_L003</t>
  </si>
  <si>
    <t>PHILODROMICA</t>
  </si>
  <si>
    <t>Paranauphoeta</t>
  </si>
  <si>
    <t>Parcoblatta</t>
  </si>
  <si>
    <t>Platyzosteria</t>
  </si>
  <si>
    <t>Polyphagoides</t>
  </si>
  <si>
    <t>Protagonista</t>
  </si>
  <si>
    <t>Rhabdoblatta</t>
  </si>
  <si>
    <t>STAT</t>
  </si>
  <si>
    <t>Salganea</t>
  </si>
  <si>
    <t>Schultesia</t>
  </si>
  <si>
    <t>Shelfordella</t>
  </si>
  <si>
    <t>Shelfordina</t>
  </si>
  <si>
    <t>Thera</t>
  </si>
  <si>
    <t>Tryonicus_parvus</t>
  </si>
  <si>
    <t>YS-1fin_S58_L003</t>
  </si>
  <si>
    <t>YS-3-1_S60_L003</t>
  </si>
  <si>
    <t>YS-5_S62_L003</t>
  </si>
  <si>
    <t>ZU007_S78_L004</t>
  </si>
  <si>
    <t>ZU008_S79_L004</t>
  </si>
  <si>
    <t>ZU011_S82_L004</t>
  </si>
  <si>
    <t>ZU015_S86_L004</t>
  </si>
  <si>
    <t>ZU017_S88_L004</t>
  </si>
  <si>
    <t>ZU018_S89_L004</t>
  </si>
  <si>
    <t>ZU019_S90_L004</t>
  </si>
  <si>
    <t>ZU020_S91_L004</t>
  </si>
  <si>
    <t>ZU021_S92_L004</t>
  </si>
  <si>
    <t>ZU022_S93_L004</t>
  </si>
  <si>
    <t>ZU068_S2_L003</t>
  </si>
  <si>
    <t>ZU076_S4_L003</t>
  </si>
  <si>
    <t>ZU096_S8_L003</t>
  </si>
  <si>
    <t>ZU106_S9_L003</t>
  </si>
  <si>
    <t>ZU115_S13_L003</t>
  </si>
  <si>
    <t>AU006_S335_Pseudophyllodromiidae</t>
  </si>
  <si>
    <t>AU008_S337_Pseudophyllodromiidae</t>
  </si>
  <si>
    <t>AU009_S338_Pseudophyllodromiidae</t>
  </si>
  <si>
    <t>AU013_S342_Pseudophyllodromiidae</t>
  </si>
  <si>
    <t>AU017_S346_Pseudophyllodromiidae</t>
  </si>
  <si>
    <t>AU018_S347_Ectobiidae</t>
  </si>
  <si>
    <t>AU023_S352_Blattellidae</t>
  </si>
  <si>
    <t>AU024_S353_Ectobiidae</t>
  </si>
  <si>
    <t>AU028_S357_Ectobiidae</t>
  </si>
  <si>
    <t>AU032_S361_undetermined</t>
  </si>
  <si>
    <t>AU033_S362_Pseudophyllodromiidae</t>
  </si>
  <si>
    <t>AU034_S363_Blattellidae</t>
  </si>
  <si>
    <t>AU035_S364_Pseudophyllodromiidae</t>
  </si>
  <si>
    <t>AU039_S368_Pseudophyllodromiidae</t>
  </si>
  <si>
    <t>AU041_S370_Pseudophyllodromiidae</t>
  </si>
  <si>
    <t>AU042_S371_Blattellidae</t>
  </si>
  <si>
    <t>AU045_S374_Pseudophyllodromiidae</t>
  </si>
  <si>
    <t>AU049_S378_undetermined</t>
  </si>
  <si>
    <t>AU053_S382_Ectobiidae</t>
  </si>
  <si>
    <t>AU055_S384_Blattellidae</t>
  </si>
  <si>
    <t>AU057_S386_Pseudophyllodromiidae</t>
  </si>
  <si>
    <t>AU063_S392_Pseudophyllodromiidae</t>
  </si>
  <si>
    <t>AU069_S398_Pseudophyllodromiidae</t>
  </si>
  <si>
    <t>AU070_S399_Ectobiidae</t>
  </si>
  <si>
    <t>AU073_S402_Pseudophyllodromiidae</t>
  </si>
  <si>
    <t>AU074_S403_Anaplectidae</t>
  </si>
  <si>
    <t>AU075_S404_Pseudophyllodromiidae</t>
  </si>
  <si>
    <t>AU076_S405_Ectobiidae</t>
  </si>
  <si>
    <t>AU085_S414_Pseudophyllodromiidae</t>
  </si>
  <si>
    <t>AU096_S425_Ectobiidae</t>
  </si>
  <si>
    <t>AU097_S426_Pseudophyllodromiidae</t>
  </si>
  <si>
    <t>BL928_S44_L003_Anaplectidae</t>
  </si>
  <si>
    <t>BL930_S46_L003_Blattellidae</t>
  </si>
  <si>
    <t>BL933_S48_L003_Blattellidae</t>
  </si>
  <si>
    <t>BL937_S52_L003_Ectobiidae</t>
  </si>
  <si>
    <t>BL940_S55_L003_Pseudophyllodromiidae</t>
  </si>
  <si>
    <t>CAM19_1_C008_CR_S8_L001_undetermined</t>
  </si>
  <si>
    <t>CAM19_1_C010_CR_S10_L001_undetermined</t>
  </si>
  <si>
    <t>CAM19_1_C019_CR_S19_L001_Anaplectidae</t>
  </si>
  <si>
    <t>CAM19_1_C025_CR_S25_L001_undetermined</t>
  </si>
  <si>
    <t>CAM19_1_C033_CR_S33_L001_undetermined</t>
  </si>
  <si>
    <t>CAM19_1_C045_CR_S45_L001_undetermined</t>
  </si>
  <si>
    <t>CAM19_1_C050_CR_S50_L001_Anaplectidae</t>
  </si>
  <si>
    <t>CAM19_1_C055_CR_S55_L001_undetermined</t>
  </si>
  <si>
    <t>CAM19_1_C057_CR_S57_L001_undetermined</t>
  </si>
  <si>
    <t>CAM19_1_C059_CR_S59_L001_undetermined</t>
  </si>
  <si>
    <t>CAM19_1_C064_CR_S64_L001_undetermined</t>
  </si>
  <si>
    <t>CAM19_1_C072_CR_S71_L001_undetermined</t>
  </si>
  <si>
    <t>CAM19_1_C073_CR_S72_L001_undetermined</t>
  </si>
  <si>
    <t>CAM19_2_C003_CR_S5_L002_Anaplectidae</t>
  </si>
  <si>
    <t>CAM19_2_C005_CR_S7_L002_undetermined</t>
  </si>
  <si>
    <t>CAM19_2_C008_CR_S10_L002_undetermined</t>
  </si>
  <si>
    <t>CAM19_2_C020_CR_S21_L002_undetermined</t>
  </si>
  <si>
    <t>CAM19_2_C026_CR_S27_L002_undetermined</t>
  </si>
  <si>
    <t>CAM19_2_C053_CR_S54_L002_Blaberidae</t>
  </si>
  <si>
    <t>CAM19_2_C062_CR_S63_L002_undetermined</t>
  </si>
  <si>
    <t>CAM19_2_C064_CR_S65_L002_undetermined</t>
  </si>
  <si>
    <t>CAM19_2_C065_CR_S66_L002_Pseudophyllodromiidae</t>
  </si>
  <si>
    <t>CAM19_2_C103_CR_S7_L004_Blaberidae</t>
  </si>
  <si>
    <t>CAM19_2_C105_CR_S9_L004_Blaberidae</t>
  </si>
  <si>
    <t>CAM19_2_C108_CR_S11_L004_undetermined</t>
  </si>
  <si>
    <t>CAM19_2_C109_CR_S12_L004_undetermined</t>
  </si>
  <si>
    <t>CAM19_2_C114_CR_S17_L004_undetermined</t>
  </si>
  <si>
    <t>CAM19_2_C120_CR_S23_L004_Blaberidae</t>
  </si>
  <si>
    <t>CAM19_2_C129_CR_S31_L004_undetermined</t>
  </si>
  <si>
    <t>CAM19_2_C133_CR_S35_L004_Blattidae</t>
  </si>
  <si>
    <t>CAM19_2_C136_CR_S38_L004_undetermined</t>
  </si>
  <si>
    <t>CAM19_2_C149_CR_S49_L004_undetermined</t>
  </si>
  <si>
    <t>CAM19_2_C166_CR_S65_L004_Corydiidae</t>
  </si>
  <si>
    <t>CAM19_2_C171_CR_S70_L004_Anaplectidae</t>
  </si>
  <si>
    <t>OKE002_S15_L003_Pseudophyllodromiidae</t>
  </si>
  <si>
    <t>OKE005_S18_L003_Pseudophyllodromiidae</t>
  </si>
  <si>
    <t>OKE009_S22_L003_Blaberidae</t>
  </si>
  <si>
    <t>OKE010_S23_L003_Blaberidae</t>
  </si>
  <si>
    <t>OKE011_S24_L003_Blattellidae</t>
  </si>
  <si>
    <t>OKE016_S29_L003_Blaberidae</t>
  </si>
  <si>
    <t>OKE018_S31_L003_Blattidae</t>
  </si>
  <si>
    <t>OKE019_S32_L003_Blaberidae</t>
  </si>
  <si>
    <t>OKE025_S38_L003_Blattellidae</t>
  </si>
  <si>
    <t>OKE028_S41_L003_undetermined</t>
  </si>
  <si>
    <t>YS-1fin_S58_L003_undetermined</t>
  </si>
  <si>
    <t>YS-3-1_S60_L003_Corydiidae</t>
  </si>
  <si>
    <t>YS-5_S62_L003_Corydiidae</t>
  </si>
  <si>
    <t>ZU007_S78_L004_Ectobiidae</t>
  </si>
  <si>
    <t>ZU008_S79_L004_Ectobiidae</t>
  </si>
  <si>
    <t>ZU011_S82_L004_Blaberidae</t>
  </si>
  <si>
    <t>ZU015_S86_L004_Blaberidae</t>
  </si>
  <si>
    <t>ZU017_S88_L004_Blaberidae</t>
  </si>
  <si>
    <t>ZU018_S89_L004_Blaberidae</t>
  </si>
  <si>
    <t>ZU019_S90_L004_Blattidae</t>
  </si>
  <si>
    <t>ZU020_S91_L004_Blattidae</t>
  </si>
  <si>
    <t>ZU021_S92_L004_Ectobiidae</t>
  </si>
  <si>
    <t>ZU022_S93_L004_Blattidae</t>
  </si>
  <si>
    <t>ZU068_S2_L003_Blattellidae</t>
  </si>
  <si>
    <t>ZU076_S4_L003_Blaberidae</t>
  </si>
  <si>
    <t>ZU096_S8_L003_Blaberidae</t>
  </si>
  <si>
    <t>ZU106_S9_L003_Pseudophyllodromiidae</t>
  </si>
  <si>
    <t>ZU115_S13_L003_Blattellidae</t>
  </si>
  <si>
    <t>&gt;CDS:AU045_S374_Pseudophyllodromiidae_I00960</t>
  </si>
  <si>
    <t>&gt;CDS:CAM19_2_C065_CR_S66_L002_Pseudophyllodromiidae_I02620</t>
  </si>
  <si>
    <t>&gt;CDS:AU041_S370_Pseudophyllodromiidae_I01300</t>
  </si>
  <si>
    <t>&gt;CDS:AU045_S374_Pseudophyllodromiidae_I01280</t>
  </si>
  <si>
    <t>&gt;CDS:CAM19_1_C045_CR_S45_L001_undetermined_I05500</t>
  </si>
  <si>
    <t>&gt;CDS:AU075_S404_Pseudophyllodromiidae_I00010</t>
  </si>
  <si>
    <t>&gt;CDS:BL940_S55_L003_Pseudophyllodromiidae_I03070</t>
  </si>
  <si>
    <t>&gt;CDS:ZU017_S88_L004_Blaberidae_I00430</t>
  </si>
  <si>
    <t>&gt;CDS:CAM19_1_C050_CR_S50_L001_Anaplectidae_I00520</t>
  </si>
  <si>
    <t>&gt;CDS:CAM19_2_C003_CR_S5_L002_Anaplectidae_I00520</t>
  </si>
  <si>
    <t>&gt;CDS:AU041_S370_Pseudophyllodromiidae_I02440</t>
  </si>
  <si>
    <t>&gt;CDS:CAM19_2_C003_CR_S5_L002_Anaplectidae_I00370</t>
  </si>
  <si>
    <t>&gt;CDS:AU023_S352_Blattellidae_I00440</t>
  </si>
  <si>
    <t>&gt;CDS:CAM19_1_C033_CR_S33_L001_undetermined_I01560</t>
  </si>
  <si>
    <t>&gt;CDS:CAM19_2_C109_CR_S12_L004_undetermined_I03070</t>
  </si>
  <si>
    <t>---------------------------------------------------------------------------LFFLEKKYPEFYDPT-SPTIKIGAEIH--KNS---SK-IF-YHKYKMYSLQNTYSKKELIIWKKKISKSI-H--T--FSFVCELKYDGVSINLIYKNGFLTNAVTRGNGEKGEDVTENI--KTIK-YIPLKLR----G-N--N-YPAYLEIRGEVFLPTRNFIEINKKRIESGKTPYANPRNTASGTL--K-IH--DCK--EVRQR---NLFCIAFHVAGKNLPFYTQYESLKHIKNWGFQI---P-ETARFC--ENMEEVFHFIDFW-NLWKEKLPYQIDGIVIKVNEYQKQSLLGFTNKYPRWAIAYKFK-Q-K-LFETKLLSLTFQVGRSGIVTPVANVVPILISGTTIKRVALYNDSFIQKM-GIHYGDTLLLEKGGNIIPKVTKINIKKRY--NQ-AFPVFFLKKCPSCNSALTKKNE-LFYCT-NK-NCSSQRIEKIRHFVSEKAMNIQKIGNEMIKKLYKKGFLYSFYNLYELKKEELLQIDGVKEKLADSILNNIEKSK-Y-NPFYRVLYALGIRHVGEDISKKLTEQFLDINSLMH-ANFDHLISISGIGKKITESIITYFSIDENIHTVKMLIKYG--L----HF-----S----KC------------------SKK---LS--S---IEGKSFVFTGKLSCMTRNQAKNMIEDLGGKVYNTVNNQINFIVIGKNFGSKFKKSME-KNHVQILTENLFIEMLK--KAKKE-------K---------</t>
  </si>
  <si>
    <t>&gt;CDS:CAM19_1_C057_CR_S57_L001_undetermined_I02780</t>
  </si>
  <si>
    <t>------------------------------------------------------------ILIYLIFFFDKKLDELYRLEKKYPKLYDPT-SPTINIGSDIN--KIN---SK-IY-EYKYKMYSISNCYSKEELIIWIKKIRKSI-K--K--FSFICELKYDGVSINLIYKNGILTNAVTRGNGEKGENVIDNI--KAIK-SIPLKLK----G-E--Q-HPPYIEIRGEIFILIKNFIEINKNRIKNGNKPYSNPRNAASGIL--K-VH--EKN--KVPKK---GLLCVAFHVLGKN--FNTQQESLNKIKYWGFNI---P-EKILFC--RNLKEVFNFIDFC-NLHKDRLNYQIDGIVIKINEYKNQSILGCTRKYTRWSIAYKFK-Q-K-FSETKLISITFQVGRTGIITPVANVSPISISGTIIKRVSLYNNRFIQNK-KIYHGDSVFLEKGGNIIPIITNVNDKKRL--KN-AYPIFFLKKCPSCNSILIKKNE-LFFCT-NN-NCSSKIIMKLKHFSSEKAMDIQKIGNKMIEKLYNNGYLNNFSDFFKLKKEDLLQIYGVKEKLANNIILNIEKSK-T-TPYYKVLYALGIRYLGEDKSKKLTKHFFNINYLMH-ANYDNLISISGIGEKTAKSIINFFYIKENKILIKILKKYG--L----NF-----S----KK-I------E-----K---KNK---YH--P---FKGKSFVFTGRLSSMTRKKAKKIIESLGGIVYNTVNNKINFTIVGKNYGDKLKKSIT-KNNIKIITETIFLYMIK--NKKLP------NI---------</t>
  </si>
  <si>
    <t>variable starting position</t>
  </si>
  <si>
    <t>&gt;CDS:ZU017_S88_L004_Blaberidae_I02400</t>
  </si>
  <si>
    <t>---------------------------------------------------------LEYYVSGIQLFGTEVKSIRLNKVNIMESFCQMKYGELYSINMYI----AEYKF-GT----NWN-H--SSKRDRKLLLKKQELIKIN-KKL-KN--PGLTLIPIELFINDKGYIKMKIVLAKGKKTYDKRESLRKKDFFRE----KR-NFKL---K---NC-------------------------I-</t>
  </si>
  <si>
    <t>&gt;CDS:BNCIN_I04470</t>
  </si>
  <si>
    <t>------------------------------LN---YTETIQWIFKRLPIYQKTGLI--SYKPGLKRIQNFCSYLGNPQNFFKSIHVGGTNGKGSTVHMLSSILQEEKYQTGLFTSPHLIDFRERITCNGIFIEKNFIVDFIKKNKKFIEKEKISFFEMNTALAFQYFKEKKVNIAIIEVGMGGRLDSTNLITPEISVITNISIDHTETLGDNQLKIALEKAGIIKKNVSVI--IGRRISRDVRFLFFQEALKKNAPIYFSVK--SKK---DSQ---YKMPFK-ADYQNLNRSIVLKIIRILHDRKNIIVSNQSIKKGFKNVIKNTT----LKGRWHILQKKNPKL-------------------------------------------------------------------------------------------------------------------------------FVI-------------------------</t>
  </si>
  <si>
    <t>split into two CDS</t>
  </si>
  <si>
    <t>sequence</t>
  </si>
  <si>
    <t>orthogroup</t>
  </si>
  <si>
    <t>solution</t>
  </si>
  <si>
    <t>issue</t>
  </si>
  <si>
    <t>Y</t>
  </si>
  <si>
    <t>missing stop codon</t>
  </si>
  <si>
    <t>affected genes</t>
  </si>
  <si>
    <t>tyrA; DAHP synthase</t>
  </si>
  <si>
    <t>fixed?</t>
  </si>
  <si>
    <t>pssA; DnaQ</t>
  </si>
  <si>
    <t>add the rest of the sequence</t>
  </si>
  <si>
    <t>purH</t>
  </si>
  <si>
    <t>internal stop codon(TGA)</t>
  </si>
  <si>
    <t>no need</t>
  </si>
  <si>
    <t>frameshifted</t>
  </si>
  <si>
    <t>thymidylate synthase</t>
  </si>
  <si>
    <t>CDS starts earlier than other samples</t>
  </si>
  <si>
    <t>no solution</t>
  </si>
  <si>
    <t>nusA</t>
  </si>
  <si>
    <t>menB</t>
  </si>
  <si>
    <t>rplP</t>
  </si>
  <si>
    <t xml:space="preserve">rmuC </t>
  </si>
  <si>
    <t>losing one domain at C-terminus (possibly to repeats?)</t>
  </si>
  <si>
    <t>rpsL</t>
  </si>
  <si>
    <t>possible loss/relaxed selection of the first domain</t>
  </si>
  <si>
    <t>internal codon -&gt; loss of domains</t>
  </si>
  <si>
    <t>alanine-tRNA ligase</t>
  </si>
  <si>
    <t>insertion? Repeats? but without loss of domain</t>
  </si>
  <si>
    <t>dnaB</t>
  </si>
  <si>
    <t>later start codon than other strains</t>
  </si>
  <si>
    <t>move starting position from 437103 to 436951</t>
  </si>
  <si>
    <t>NUDIX_IPP_Isomerase</t>
  </si>
  <si>
    <t>later start codon and lost one domain?</t>
  </si>
  <si>
    <t>Iron-sulfur protein NUBPL-like</t>
  </si>
  <si>
    <t>missing N-terminus (later start codon)</t>
  </si>
  <si>
    <t>rpsG</t>
  </si>
  <si>
    <t>CDS:PHILODROMICA_I01790</t>
  </si>
  <si>
    <t>ignore the sequence and hence 699</t>
  </si>
  <si>
    <t>weird gene duplication(possibly mistake?): 178=glpF, 179=glpK+glpF, 180=glpK</t>
  </si>
  <si>
    <t>merged orthogroups</t>
  </si>
  <si>
    <t>possible gene duplication/error</t>
  </si>
  <si>
    <t>queA</t>
  </si>
  <si>
    <t>delete two genes (CDS:Beybienkoa_I03320; CDS:Neolaxta_I03320); also the 16S was duplicated</t>
  </si>
  <si>
    <t>delete the orthogroup (2 genes: CDS:Cosmozosteria_I03360; CDS:Ectoneura_I03290) ; also the 16S was duplicated</t>
  </si>
  <si>
    <t>CDS:YS-1fin_S58_L003_undetermined_I03520</t>
  </si>
  <si>
    <t>delete the orthogroup/gene</t>
  </si>
  <si>
    <t>rplE</t>
  </si>
  <si>
    <t>CDS:Euphyllodromica_I03140</t>
  </si>
  <si>
    <t>delete the gene</t>
  </si>
  <si>
    <t>CDS:CHORISOSERATA_I03340</t>
  </si>
  <si>
    <t>later start codon (maybe due to CDS prediction)</t>
  </si>
  <si>
    <t xml:space="preserve">use the PGAP prediction on rplE </t>
  </si>
  <si>
    <t>CDS:AU073_S402_Pseudophyllodromiidae_I02670</t>
  </si>
  <si>
    <t>loss of stop codon (due to repeats?)</t>
  </si>
  <si>
    <t>rpsF</t>
  </si>
  <si>
    <t>just merge the two orthogroups (move the gene into orthogroup 362)</t>
  </si>
  <si>
    <t>PPgene:Parcoblatta_I04550</t>
  </si>
  <si>
    <t>repeats within the gene, but all domains intact</t>
  </si>
  <si>
    <t>just merge the two orthogroups (move the gene into orthogroup 366)</t>
  </si>
  <si>
    <t>miaA</t>
  </si>
  <si>
    <t>&gt;CDS:Macropanesthia_I05040</t>
  </si>
  <si>
    <t>IFFMNYSKYFVIFIINFLVSILILYKITQLSLKWVDVYTKHGSYVVVPDLIGFTLPKSILILKKLGLKYDIDTSRYDPNFKINQIISFSPEAGDHVKEGRHVYIQVNSQSSQSVLPNIINKEKKIAIKLLHASHISVKEIRYINDRRKDTVLKILYRNKSIQFGYRFSLNQDGIILIIGKGYKKDNFLVPNVVGMNLYSAIFTLKNQLFHVINFYYDHTITNPDKNAKVYRQKPDSGIIYDKNKPVELWLTSKELLDQFKNEDVKNEDVKNEDVKNEDVKNEDVKNEDVKNEDVKNEDVKNKNVKNKDVKNKDVKNKDVKNKDVKNKNVKNKDVKNKDVKNKDVKNKDVKNKDVKNKDVKNKDVKNKDVKNKXXXXTSKTKTSKTKTSKTKTSKTKTSKTKTSKTKTSKTKTSKTKTSKTKTSKTKTSKTKTSKTKTSKTKTSKT----KTSKTM-------KTIHIV---VKQN--Q-KEIRIDKFLKK--NI--ENISRNQIQKLMFSEKVIV-NQQ-IV-KK-NYRIQPLDLIEIQFS----KIS---------PI----LDH-L-EYKNIVAEKI--NLDIL-HEDEDLIVVNKPAGMVVHPGFGHYKGTLIHGIKYHLQ-NSN-LKNLNLYRSGLVHRLDKDTSGLLVVAKNEYSKKYLFQQFHYPKTIQREYRALIWGDL--IEKKGIITGFIGRDPKNRKRMTVFRTNE----S--HKGK--YSVTHYQVLERF-K--YLTYVSCNIETGKTHQIRAHFKYLGHPLFHDSIYGGH--KIFMKKKCSNR-NIKFLKTCFKIL--PRQALHAISLSFIHPK--HE--K-CY-FYCPIPEDFKIV---LQQCR-KIFL---------------------------------------------------------------------------------</t>
  </si>
  <si>
    <t>split the gene into two (by the Ns position)</t>
  </si>
  <si>
    <t>PASTA domain gene; RluA</t>
  </si>
  <si>
    <t>glpF; glpK</t>
  </si>
  <si>
    <t>evalue</t>
  </si>
  <si>
    <t>score</t>
  </si>
  <si>
    <t>eggNOG_OGs</t>
  </si>
  <si>
    <t>max_annot_lvl</t>
  </si>
  <si>
    <t>COG_category</t>
  </si>
  <si>
    <t>Description</t>
  </si>
  <si>
    <t>Preferred_name</t>
  </si>
  <si>
    <t>GOs</t>
  </si>
  <si>
    <t>EC</t>
  </si>
  <si>
    <t>KEGG_ko</t>
  </si>
  <si>
    <t>KEGG_Pathway</t>
  </si>
  <si>
    <t>KEGG_Module</t>
  </si>
  <si>
    <t>KEGG_Reaction</t>
  </si>
  <si>
    <t>KEGG_rclass</t>
  </si>
  <si>
    <t>BRITE</t>
  </si>
  <si>
    <t>KEGG_TC</t>
  </si>
  <si>
    <t>CAZy</t>
  </si>
  <si>
    <t>BiGG_Reaction</t>
  </si>
  <si>
    <t>PFAMs</t>
  </si>
  <si>
    <t>OG_root</t>
  </si>
  <si>
    <t>OG_Blattabacteriaceae</t>
  </si>
  <si>
    <t>OG_Flavobacteriia</t>
  </si>
  <si>
    <t>nucleotides</t>
  </si>
  <si>
    <t>GC</t>
  </si>
  <si>
    <t>type</t>
  </si>
  <si>
    <t>sample</t>
  </si>
  <si>
    <t>location</t>
  </si>
  <si>
    <t>position</t>
  </si>
  <si>
    <t>curated_COG_category</t>
  </si>
  <si>
    <t>curated_OG</t>
  </si>
  <si>
    <t>curated_orthogroup</t>
  </si>
  <si>
    <t>position_min</t>
  </si>
  <si>
    <t>position_max</t>
  </si>
  <si>
    <t>position_mean</t>
  </si>
  <si>
    <t>genes_in_orthogroup</t>
  </si>
  <si>
    <t>samples_in_orthogroup</t>
  </si>
  <si>
    <t>relative_length_in_orthogroup</t>
  </si>
  <si>
    <t>mean_length_in_orthogroup</t>
  </si>
  <si>
    <t>max_length_in_orthogroup</t>
  </si>
  <si>
    <t>min_length_in_orthogroup</t>
  </si>
  <si>
    <t>OGs_in_orthogroup</t>
  </si>
  <si>
    <t>OG_inferred_from_orthogroup</t>
  </si>
  <si>
    <t>orthogroups_in_OG</t>
  </si>
  <si>
    <t>core_proteome</t>
  </si>
  <si>
    <t>paralogs</t>
  </si>
  <si>
    <t>CDS:Allacta-AUS_I03020</t>
  </si>
  <si>
    <t>1186051.BGIGA_323</t>
  </si>
  <si>
    <t>COG0209@1|root,COG0209@2|Bacteria,4NEHQ@976|Bacteroidetes,1HXHB@117743|Flavobacteriia,3IVAK@39782|Blattabacteriaceae</t>
  </si>
  <si>
    <t>976|Bacteroidetes</t>
  </si>
  <si>
    <t>F</t>
  </si>
  <si>
    <t>Provides the precursors necessary for DNA synthesis. Catalyzes the biosynthesis of deoxyribonucleotides from the corresponding ribonucleotides</t>
  </si>
  <si>
    <t>nrdA</t>
  </si>
  <si>
    <t>NA</t>
  </si>
  <si>
    <t>1.17.4.1</t>
  </si>
  <si>
    <t>ko:K00525</t>
  </si>
  <si>
    <t>ko00230,ko00240,ko01100,map00230,map00240,map01100</t>
  </si>
  <si>
    <t>M00053</t>
  </si>
  <si>
    <t>R02017,R02018,R02019,R02024</t>
  </si>
  <si>
    <t>RC00613</t>
  </si>
  <si>
    <t>ko00000,ko00001,ko00002,ko01000,ko03400</t>
  </si>
  <si>
    <t>Ribonuc_red_lgC,Ribonuc_red_lgN</t>
  </si>
  <si>
    <t>COG0209@1|root</t>
  </si>
  <si>
    <t>3IVAK@39782|Blattabacteriaceae</t>
  </si>
  <si>
    <t>1HXHB@117743|Flavobacteriia</t>
  </si>
  <si>
    <t>CDS</t>
  </si>
  <si>
    <t>chromosome</t>
  </si>
  <si>
    <t>390, 825, 747, 681</t>
  </si>
  <si>
    <t>CDS:Allacta-AUS_I03020, CDS:Allacta-AUS_I03040, CDS:Anallacta_I03310, CDS:Anallacta_I03330, CDS:Shelfordella_I03280, CDS:Shelfordella_I03300, CDS:Thera_I03190, CDS:Thera_I03210</t>
  </si>
  <si>
    <t>CDS:Allacta-AUS_I03040</t>
  </si>
  <si>
    <t>3.65e-298</t>
  </si>
  <si>
    <t>CDS:Anallacta_I03310</t>
  </si>
  <si>
    <t>331104.BLBBGE_310</t>
  </si>
  <si>
    <t>CDS:Anallacta_I03330</t>
  </si>
  <si>
    <t>CDS:AU045_S374_Pseudophyllodromiidae_I04020</t>
  </si>
  <si>
    <t>1074889.MADAR_418</t>
  </si>
  <si>
    <t>4.61e-11</t>
  </si>
  <si>
    <t>2ACTF@1|root,312EA@2|Bacteria,4PHC7@976|Bacteroidetes,1II1V@117743|Flavobacteriia,3IVM3@39782|Blattabacteriaceae</t>
  </si>
  <si>
    <t>S</t>
  </si>
  <si>
    <t>30S ribosomal protein Thx</t>
  </si>
  <si>
    <t>ko:K19033</t>
  </si>
  <si>
    <t>br01610,ko00000,ko03011</t>
  </si>
  <si>
    <t>Thx</t>
  </si>
  <si>
    <t>2ACTF@1|root</t>
  </si>
  <si>
    <t>3IVM3@39782|Blattabacteriaceae</t>
  </si>
  <si>
    <t>1II1V@117743|Flavobacteriia</t>
  </si>
  <si>
    <t>581, 658, 776, 685, 610, 657</t>
  </si>
  <si>
    <t>CDS:AU045_S374_Pseudophyllodromiidae_I04020, CDS:AU045_S374_Pseudophyllodromiidae_I04030</t>
  </si>
  <si>
    <t>CDS:AU045_S374_Pseudophyllodromiidae_I04030</t>
  </si>
  <si>
    <t>1.32e-10</t>
  </si>
  <si>
    <t>CDS:Beybienkoa_I03320</t>
  </si>
  <si>
    <t>331104.BLBBGE_304</t>
  </si>
  <si>
    <t>3.12e-230</t>
  </si>
  <si>
    <t>COG0809@1|root,COG0809@2|Bacteria,4NF2T@976|Bacteroidetes,1HYMK@117743|Flavobacteriia,3IV6Z@39782|Blattabacteriaceae</t>
  </si>
  <si>
    <t>H</t>
  </si>
  <si>
    <t>Transfers and isomerizes the ribose moiety from AdoMet to the 7-aminomethyl group of 7-deazaguanine (preQ1-tRNA) to give epoxyqueuosine (oQ-tRNA)</t>
  </si>
  <si>
    <t>2.4.99.17</t>
  </si>
  <si>
    <t>ko:K07568</t>
  </si>
  <si>
    <t>ko00000,ko01000,ko03016</t>
  </si>
  <si>
    <t>Queuosine_synth</t>
  </si>
  <si>
    <t>COG0809@1|root</t>
  </si>
  <si>
    <t>3IV6Z@39782|Blattabacteriaceae</t>
  </si>
  <si>
    <t>1HYMK@117743|Flavobacteriia</t>
  </si>
  <si>
    <t>2, 626</t>
  </si>
  <si>
    <t>CDS:Beybienkoa_I03320, CDS:Beybienkoa_I03340, CDS:Cosmozosteria_I03360, CDS:Cosmozosteria_I03380, CDS:Ectoneura_I03290, CDS:Ectoneura_I03310, CDS:Neolaxta_I03320, CDS:Neolaxta_I03350</t>
  </si>
  <si>
    <t>CDS:Beybienkoa_I03340</t>
  </si>
  <si>
    <t>CDS:BL940_S55_L003_Pseudophyllodromiidae_I04780</t>
  </si>
  <si>
    <t>331104.BLBBGE_066</t>
  </si>
  <si>
    <t>5.99e-13</t>
  </si>
  <si>
    <t>COG0535@1|root,COG0535@2|Bacteria,4NEGK@976|Bacteroidetes,1HYIP@117743|Flavobacteriia,3IVG8@39782|Blattabacteriaceae</t>
  </si>
  <si>
    <t>radical SAM domain protein</t>
  </si>
  <si>
    <t>COG0535@1|root</t>
  </si>
  <si>
    <t>3IVG8@39782|Blattabacteriaceae</t>
  </si>
  <si>
    <t>1HYIP@117743|Flavobacteriia</t>
  </si>
  <si>
    <t>507, 828, 829</t>
  </si>
  <si>
    <t>CDS:BL940_S55_L003_Pseudophyllodromiidae_I04780, CDS:BL940_S55_L003_Pseudophyllodromiidae_I04790</t>
  </si>
  <si>
    <t>CDS:BL940_S55_L003_Pseudophyllodromiidae_I04790</t>
  </si>
  <si>
    <t>1316444.K645_331</t>
  </si>
  <si>
    <t>5.72e-35</t>
  </si>
  <si>
    <t>CDS:BNCIN_II00040</t>
  </si>
  <si>
    <t>331104.BLBBGE_p002</t>
  </si>
  <si>
    <t>3.41e-12</t>
  </si>
  <si>
    <t>28HFG@1|root,2Z7RJ@2|Bacteria,4NFNY@976|Bacteroidetes,1HWSC@117743|Flavobacteriia,3IVK4@39782|Blattabacteriaceae</t>
  </si>
  <si>
    <t>Domain of Unknown Function (DUF1599)</t>
  </si>
  <si>
    <t>DUF1599</t>
  </si>
  <si>
    <t>28HFG@1|root</t>
  </si>
  <si>
    <t>3IVK4@39782|Blattabacteriaceae</t>
  </si>
  <si>
    <t>1HWSC@117743|Flavobacteriia</t>
  </si>
  <si>
    <t>plasmid</t>
  </si>
  <si>
    <t>530, 663</t>
  </si>
  <si>
    <t>CDS:BNCIN_II00040, CDS:BNCIN_II00050</t>
  </si>
  <si>
    <t>CDS:BNCIN_II00050</t>
  </si>
  <si>
    <t>1316444.K645_2961</t>
  </si>
  <si>
    <t>1.43e-65</t>
  </si>
  <si>
    <t>CDS:CAM19_1_C010_CR_S10_L001_undetermined_I05320</t>
  </si>
  <si>
    <t>1186051.BGIGA_535</t>
  </si>
  <si>
    <t>5.02e-07</t>
  </si>
  <si>
    <t>COG3117@1|root,COG3117@2|Bacteria,4NUBA@976|Bacteroidetes,1I4SN@117743|Flavobacteriia,3IVIR@39782|Blattabacteriaceae</t>
  </si>
  <si>
    <t>lipopolysaccharide transmembrane transporter activity</t>
  </si>
  <si>
    <t>LptC</t>
  </si>
  <si>
    <t>COG3117@1|root</t>
  </si>
  <si>
    <t>3IVIR@39782|Blattabacteriaceae</t>
  </si>
  <si>
    <t>1I4SN@117743|Flavobacteriia</t>
  </si>
  <si>
    <t>582, 635</t>
  </si>
  <si>
    <t>CDS:CAM19_1_C010_CR_S10_L001_undetermined_I05320, CDS:CAM19_1_C010_CR_S10_L001_undetermined_I05330</t>
  </si>
  <si>
    <t>CDS:CAM19_1_C010_CR_S10_L001_undetermined_I05330</t>
  </si>
  <si>
    <t>331104.BLBBGE_091</t>
  </si>
  <si>
    <t>6.29e-34</t>
  </si>
  <si>
    <t>CDS:CAM19_2_C026_CR_S27_L002_undetermined_I00460</t>
  </si>
  <si>
    <t>331104.BLBBGE_595</t>
  </si>
  <si>
    <t>1.66e-46</t>
  </si>
  <si>
    <t>COG0683@1|root,COG0683@2|Bacteria,4PJJM@976|Bacteroidetes,1IGAW@117743|Flavobacteriia,3IVM9@39782|Blattabacteriaceae</t>
  </si>
  <si>
    <t>E</t>
  </si>
  <si>
    <t>leucine binding</t>
  </si>
  <si>
    <t>COG0683@1|root</t>
  </si>
  <si>
    <t>3IVM9@39782|Blattabacteriaceae</t>
  </si>
  <si>
    <t>1IGAW@117743|Flavobacteriia</t>
  </si>
  <si>
    <t>595, 613</t>
  </si>
  <si>
    <t>CDS:CAM19_2_C026_CR_S27_L002_undetermined_I00460, CDS:CAM19_2_C026_CR_S27_L002_undetermined_I00470, CDS:CAM19_2_C103_CR_S7_L004_Blaberidae_I00460, CDS:CAM19_2_C103_CR_S7_L004_Blaberidae_I00470, CDS:Parcoblatta_I00460, CDS:Parcoblatta_I00470</t>
  </si>
  <si>
    <t>CDS:CAM19_2_C026_CR_S27_L002_undetermined_I00470</t>
  </si>
  <si>
    <t>7.16e-146</t>
  </si>
  <si>
    <t>CDS:CAM19_2_C053_CR_S54_L002_Blaberidae_I00270</t>
  </si>
  <si>
    <t>1186051.BGIGA_027</t>
  </si>
  <si>
    <t>2.91e-35</t>
  </si>
  <si>
    <t>COG2911@1|root,COG2911@2|Bacteria,4NF7F@976|Bacteroidetes,1HWKQ@117743|Flavobacteriia,3IV9K@39782|Blattabacteriaceae</t>
  </si>
  <si>
    <t>Pfam:DUF490</t>
  </si>
  <si>
    <t>TamB</t>
  </si>
  <si>
    <t>COG2911@1|root</t>
  </si>
  <si>
    <t>3IV9K@39782|Blattabacteriaceae</t>
  </si>
  <si>
    <t>1HWKQ@117743|Flavobacteriia</t>
  </si>
  <si>
    <t>579, 655, 656, 618, 691</t>
  </si>
  <si>
    <t>CDS:CAM19_2_C053_CR_S54_L002_Blaberidae_I00270, CDS:CAM19_2_C053_CR_S54_L002_Blaberidae_I00280</t>
  </si>
  <si>
    <t>CDS:CAM19_2_C053_CR_S54_L002_Blaberidae_I00280</t>
  </si>
  <si>
    <t>1229512.BPAA_026</t>
  </si>
  <si>
    <t>4.5e-93</t>
  </si>
  <si>
    <t>CDS:CAM19_2_C103_CR_S7_L004_Blaberidae_I00460</t>
  </si>
  <si>
    <t>1186051.BGIGA_046</t>
  </si>
  <si>
    <t>6.84e-20</t>
  </si>
  <si>
    <t>CDS:CAM19_2_C103_CR_S7_L004_Blaberidae_I00470</t>
  </si>
  <si>
    <t>1.82e-103</t>
  </si>
  <si>
    <t>CDS:Cosmozosteria_I03360</t>
  </si>
  <si>
    <t>600809.BPLAN_337</t>
  </si>
  <si>
    <t>7.27e-226</t>
  </si>
  <si>
    <t>CDS:Cosmozosteria_I03380</t>
  </si>
  <si>
    <t>3.1e-244</t>
  </si>
  <si>
    <t>CDS:Cyrtotria_I00590</t>
  </si>
  <si>
    <t>1186051.BGIGA_060</t>
  </si>
  <si>
    <t>COG0437@1|root,COG0437@2|Bacteria,4NE5M@976|Bacteroidetes,1HWY0@117743|Flavobacteriia,3IVAM@39782|Blattabacteriaceae</t>
  </si>
  <si>
    <t>C</t>
  </si>
  <si>
    <t>Molybdopterin oxidoreductase iron-sulfur binding subunit</t>
  </si>
  <si>
    <t>nrfC</t>
  </si>
  <si>
    <t>ko:K00184</t>
  </si>
  <si>
    <t>ko00000</t>
  </si>
  <si>
    <t>5.A.3</t>
  </si>
  <si>
    <t>Fer4_7,Molydop_binding</t>
  </si>
  <si>
    <t>COG0437@1|root</t>
  </si>
  <si>
    <t>3IVAM@39782|Blattabacteriaceae</t>
  </si>
  <si>
    <t>1HWY0@117743|Flavobacteriia</t>
  </si>
  <si>
    <t>6, 692</t>
  </si>
  <si>
    <t>CDS:Cyrtotria_I00590, CDS:Cyrtotria_I00600</t>
  </si>
  <si>
    <t>CDS:Cyrtotria_I00600</t>
  </si>
  <si>
    <t>CDS:Ectoneura_I03290</t>
  </si>
  <si>
    <t>2.39e-209</t>
  </si>
  <si>
    <t>CDS:Ectoneura_I03310</t>
  </si>
  <si>
    <t>2.12e-229</t>
  </si>
  <si>
    <t>CDS:Euphyllodromica_I03110</t>
  </si>
  <si>
    <t>1186051.BGIGA_375</t>
  </si>
  <si>
    <t>5.95e-77</t>
  </si>
  <si>
    <t>COG0097@1|root,COG0097@2|Bacteria,4NGJM@976|Bacteroidetes,1HWK7@117743|Flavobacteriia,3IVI5@39782|Blattabacteriaceae</t>
  </si>
  <si>
    <t>J</t>
  </si>
  <si>
    <t>This protein binds to the 23S rRNA, and is important in its secondary structure. It is located near the subunit interface in the base of the L7 L12 stalk, and near the tRNA binding site of the peptidyltransferase center</t>
  </si>
  <si>
    <t>rplF</t>
  </si>
  <si>
    <t>GO:0002181,GO:0003674,GO:0003676,GO:0003723,GO:0003735,GO:0005198,GO:0005488,GO:0005575,GO:0005622,GO:0005623,GO:0005737,GO:0005829,GO:0005840,GO:0006412,GO:0006518,GO:0006807,GO:0008150,GO:0008152,GO:0009058,GO:0009059,GO:0009987,GO:0010467,GO:0015934,GO:0019538,GO:0022625,GO:0022626,GO:0032991,GO:0034641,GO:0034645,GO:0043043,GO:0043170,GO:0043226,GO:0043228,GO:0043229,GO:0043232,GO:0043603,GO:0043604,GO:0044237,GO:0044238,GO:0044249,GO:0044260,GO:0044267,GO:0044271,GO:0044391,GO:0044422,GO:0044424,GO:0044444,GO:0044445,GO:0044446,GO:0044464,GO:0071704,GO:0097159,GO:1901363,GO:1901564,GO:1901566,GO:1901576,GO:1990904</t>
  </si>
  <si>
    <t>ko:K02933</t>
  </si>
  <si>
    <t>ko03010,map03010</t>
  </si>
  <si>
    <t>M00178,M00179</t>
  </si>
  <si>
    <t>br01610,ko00000,ko00001,ko00002,ko03011</t>
  </si>
  <si>
    <t>Ribosomal_L6</t>
  </si>
  <si>
    <t>COG0097@1|root</t>
  </si>
  <si>
    <t>3IVI5@39782|Blattabacteriaceae</t>
  </si>
  <si>
    <t>1HWK7@117743|Flavobacteriia</t>
  </si>
  <si>
    <t>CDS:Euphyllodromica_I03110, CDS:Euphyllodromica_I03160</t>
  </si>
  <si>
    <t>CDS:Euphyllodromica_I03120</t>
  </si>
  <si>
    <t>1229512.BPAA_385</t>
  </si>
  <si>
    <t>2.46e-62</t>
  </si>
  <si>
    <t>COG0096@1|root,COG0096@2|Bacteria,4NNFW@976|Bacteroidetes,1I20H@117743|Flavobacteriia,3IVI8@39782|Blattabacteriaceae</t>
  </si>
  <si>
    <t>One of the primary rRNA binding proteins, it binds directly to 16S rRNA central domain where it helps coordinate assembly of the platform of the 30S subunit</t>
  </si>
  <si>
    <t>rpsH</t>
  </si>
  <si>
    <t>GO:0003674,GO:0003735,GO:0005198,GO:0005575,GO:0005622,GO:0005623,GO:0005737,GO:0005829,GO:0005840,GO:0015935,GO:0022626,GO:0022627,GO:0032991,GO:0043226,GO:0043228,GO:0043229,GO:0043232,GO:0044391,GO:0044422,GO:0044424,GO:0044444,GO:0044445,GO:0044446,GO:0044464,GO:1990904</t>
  </si>
  <si>
    <t>ko:K02994</t>
  </si>
  <si>
    <t>Ribosomal_S8</t>
  </si>
  <si>
    <t>COG0096@1|root</t>
  </si>
  <si>
    <t>3IVI8@39782|Blattabacteriaceae</t>
  </si>
  <si>
    <t>1I20H@117743|Flavobacteriia</t>
  </si>
  <si>
    <t>CDS:Euphyllodromica_I03120, CDS:Euphyllodromica_I03170</t>
  </si>
  <si>
    <t>CDS:Euphyllodromica_I03130</t>
  </si>
  <si>
    <t>331104.BLBBGE_250</t>
  </si>
  <si>
    <t>2.92e-45</t>
  </si>
  <si>
    <t>COG0199@1|root,COG0199@2|Bacteria,4NQ6N@976|Bacteroidetes,1I2TX@117743|Flavobacteriia,3IVJ7@39782|Blattabacteriaceae</t>
  </si>
  <si>
    <t>Binds 16S rRNA, required for the assembly of 30S particles and may also be responsible for determining the conformation of the 16S rRNA at the A site</t>
  </si>
  <si>
    <t>rpsN</t>
  </si>
  <si>
    <t>GO:0003674,GO:0003735,GO:0005198,GO:0005575,GO:0005622,GO:0005623,GO:0005737,GO:0005840,GO:0006412,GO:0006518,GO:0006807,GO:0008150,GO:0008152,GO:0009058,GO:0009059,GO:0009987,GO:0010467,GO:0015935,GO:0019538,GO:0032991,GO:0034641,GO:0034645,GO:0043043,GO:0043170,GO:0043226,GO:0043228,GO:0043229,GO:0043232,GO:0043603,GO:0043604,GO:0044237,GO:0044238,GO:0044249,GO:0044260,GO:0044267,GO:0044271,GO:0044391,GO:0044422,GO:0044424,GO:0044444,GO:0044446,GO:0044464,GO:0071704,GO:1901564,GO:1901566,GO:1901576,GO:1990904</t>
  </si>
  <si>
    <t>ko:K02954</t>
  </si>
  <si>
    <t>Ribosomal_S14</t>
  </si>
  <si>
    <t>COG0199@1|root</t>
  </si>
  <si>
    <t>3IVJ7@39782|Blattabacteriaceae</t>
  </si>
  <si>
    <t>1I2TX@117743|Flavobacteriia</t>
  </si>
  <si>
    <t>CDS:Euphyllodromica_I03130, CDS:Euphyllodromica_I03180</t>
  </si>
  <si>
    <t>331104.BLBBGE_249</t>
  </si>
  <si>
    <t>1.8e-83</t>
  </si>
  <si>
    <t>COG0094@1|root,COG0094@2|Bacteria,4NEGY@976|Bacteroidetes,1HX1E@117743|Flavobacteriia,3IVDD@39782|Blattabacteriaceae</t>
  </si>
  <si>
    <t>This is 1 of the proteins that binds and probably mediates the attachment of the 5S RNA into the large ribosomal subunit, where it forms part of the central protuberance. In the 70S ribosome it contacts protein S13 of the 30S subunit (bridge B1b), connecting the 2 subunits</t>
  </si>
  <si>
    <t>GO:0000027,GO:0003674,GO:0003676,GO:0003723,GO:0003735,GO:0005198,GO:0005488,GO:0005575,GO:0005622,GO:0005623,GO:0005737,GO:0005829,GO:0005840,GO:0006412,GO:0006518,GO:0006807,GO:0006996,GO:0008150,GO:0008152,GO:0009058,GO:0009059,GO:0009987,GO:0010467,GO:0015934,GO:0016043,GO:0019538,GO:0022607,GO:0022613,GO:0022618,GO:0022625,GO:0022626,GO:0032991,GO:0034622,GO:0034641,GO:0034645,GO:0042254,GO:0042255,GO:0042273,GO:0043043,GO:0043170,GO:0043226,GO:0043228,GO:0043229,GO:0043232,GO:0043603,GO:0043604,GO:0043933,GO:0044085,GO:0044237,GO:0044238,GO:0044249,GO:0044260,GO:0044267,GO:0044271,GO:0044391,GO:0044422,GO:0044424,GO:0044444,GO:0044445,GO:0044446,GO:0044464,GO:0065003,GO:0070925,GO:0071704,GO:0071826,GO:0071840,GO:0097159,GO:1901363,GO:1901564,GO:1901566,GO:1901576,GO:1990904</t>
  </si>
  <si>
    <t>ko:K02931</t>
  </si>
  <si>
    <t>Ribosomal_L5,Ribosomal_L5_C</t>
  </si>
  <si>
    <t>COG0094@1|root</t>
  </si>
  <si>
    <t>3IVDD@39782|Blattabacteriaceae</t>
  </si>
  <si>
    <t>1HX1E@117743|Flavobacteriia</t>
  </si>
  <si>
    <t>360, 754, 628</t>
  </si>
  <si>
    <t>CDS:YS-1fin_S58_L003_undetermined_I03510, CDS:YS-1fin_S58_L003_undetermined_I03520, CDS:Euphyllodromica_I03140, CDS:Euphyllodromica_I03190</t>
  </si>
  <si>
    <t>CDS:Euphyllodromica_I03160</t>
  </si>
  <si>
    <t>CDS:Euphyllodromica_I03170</t>
  </si>
  <si>
    <t>CDS:Euphyllodromica_I03180</t>
  </si>
  <si>
    <t>CDS:Euphyllodromica_I03190</t>
  </si>
  <si>
    <t>1.58e-94</t>
  </si>
  <si>
    <t>CDS:Neolaxta_I03320</t>
  </si>
  <si>
    <t>1186051.BGIGA_330</t>
  </si>
  <si>
    <t>2.6e-234</t>
  </si>
  <si>
    <t>CDS:Neolaxta_I03350</t>
  </si>
  <si>
    <t>CDS:OKE016_S29_L003_Blaberidae_I02210</t>
  </si>
  <si>
    <t>1229512.BPAA_228</t>
  </si>
  <si>
    <t>7.82e-19</t>
  </si>
  <si>
    <t>2ACTD@1|root,312E8@2|Bacteria,4PHC5@976|Bacteroidetes,1IMEJ@117743|Flavobacteriia,3IVM1@39782|Blattabacteriaceae</t>
  </si>
  <si>
    <t>Cytochrome oxidase maturation protein cbb3-type</t>
  </si>
  <si>
    <t>ccoS</t>
  </si>
  <si>
    <t>FixS</t>
  </si>
  <si>
    <t>2ACTD@1|root</t>
  </si>
  <si>
    <t>3IVM1@39782|Blattabacteriaceae</t>
  </si>
  <si>
    <t>1IMEJ@117743|Flavobacteriia</t>
  </si>
  <si>
    <t>473, 652</t>
  </si>
  <si>
    <t>CDS:OKE016_S29_L003_Blaberidae_I02210, CDS:OKE016_S29_L003_Blaberidae_I02220</t>
  </si>
  <si>
    <t>CDS:OKE016_S29_L003_Blaberidae_I02220</t>
  </si>
  <si>
    <t>600809.BPLAN_225</t>
  </si>
  <si>
    <t>1.32e-08</t>
  </si>
  <si>
    <t>CDS:Parcoblatta_I00460</t>
  </si>
  <si>
    <t>3.22e-29</t>
  </si>
  <si>
    <t>CDS:Parcoblatta_I00470</t>
  </si>
  <si>
    <t>2.37e-162</t>
  </si>
  <si>
    <t>1229512.BPAA_184</t>
  </si>
  <si>
    <t>1.2e-261</t>
  </si>
  <si>
    <t>COG0554@1|root,COG0554@2|Bacteria,4NFUH@976|Bacteroidetes,1HX3Z@117743|Flavobacteriia,3IVC3@39782|Blattabacteriaceae</t>
  </si>
  <si>
    <t>Key enzyme in the regulation of glycerol uptake and metabolism. Catalyzes the phosphorylation of glycerol to yield sn- glycerol 3-phosphate</t>
  </si>
  <si>
    <t>glpK</t>
  </si>
  <si>
    <t>GO:0003674,GO:0003824,GO:0004370,GO:0005975,GO:0006066,GO:0006071,GO:0006793,GO:0006796,GO:0008150,GO:0008152,GO:0009987,GO:0016301,GO:0016310,GO:0016740,GO:0016772,GO:0016773,GO:0019400,GO:0019751,GO:0044237,GO:0044238,GO:0044262,GO:0044281,GO:0071704,GO:1901615</t>
  </si>
  <si>
    <t>2.7.1.30</t>
  </si>
  <si>
    <t>ko:K00864</t>
  </si>
  <si>
    <t>ko00561,ko01100,ko03320,ko04626,map00561,map01100,map03320,map04626</t>
  </si>
  <si>
    <t>R00847</t>
  </si>
  <si>
    <t>RC00002,RC00017</t>
  </si>
  <si>
    <t>ko00000,ko00001,ko01000,ko04147</t>
  </si>
  <si>
    <t>FGGY_C,FGGY_N</t>
  </si>
  <si>
    <t>COG0554@1|root</t>
  </si>
  <si>
    <t>3IVC3@39782|Blattabacteriaceae</t>
  </si>
  <si>
    <t>1HX3Z@117743|Flavobacteriia</t>
  </si>
  <si>
    <t>137, 699</t>
  </si>
  <si>
    <t>CDS:PHILODROMICA_I01790, CDS:PHILODROMICA_I01800</t>
  </si>
  <si>
    <t>CDS:PHILODROMICA_I01800</t>
  </si>
  <si>
    <t>CDS:Platyzosteria_I00510</t>
  </si>
  <si>
    <t>600809.BPLAN_050</t>
  </si>
  <si>
    <t>3.7e-206</t>
  </si>
  <si>
    <t>COG2812@1|root,COG2812@2|Bacteria,4NE8A@976|Bacteroidetes,1HXAN@117743|Flavobacteriia,3IVH8@39782|Blattabacteriaceae</t>
  </si>
  <si>
    <t>L</t>
  </si>
  <si>
    <t>DNA polymerase III is a complex, multichain enzyme responsible for most of the replicative synthesis in bacteria. This DNA polymerase also exhibits 3' to 5' exonuclease activity</t>
  </si>
  <si>
    <t>dnaX</t>
  </si>
  <si>
    <t>2.7.7.7</t>
  </si>
  <si>
    <t>ko:K02343</t>
  </si>
  <si>
    <t>ko00230,ko00240,ko01100,ko03030,ko03430,ko03440,map00230,map00240,map01100,map03030,map03430,map03440</t>
  </si>
  <si>
    <t>M00260</t>
  </si>
  <si>
    <t>R00375,R00376,R00377,R00378</t>
  </si>
  <si>
    <t>RC02795</t>
  </si>
  <si>
    <t>ko00000,ko00001,ko00002,ko01000,ko03032,ko03400</t>
  </si>
  <si>
    <t>DNA_pol3_delta2,DNA_pol3_gamma3</t>
  </si>
  <si>
    <t>COG2812@1|root</t>
  </si>
  <si>
    <t>3IVH8@39782|Blattabacteriaceae</t>
  </si>
  <si>
    <t>1HXAN@117743|Flavobacteriia</t>
  </si>
  <si>
    <t>427, 614</t>
  </si>
  <si>
    <t>CDS:Platyzosteria_I00510, CDS:Platyzosteria_I00520</t>
  </si>
  <si>
    <t>CDS:Platyzosteria_I00520</t>
  </si>
  <si>
    <t>4.8e-289</t>
  </si>
  <si>
    <t>CDS:Schultesia_I00160</t>
  </si>
  <si>
    <t>1186051.BGIGA_016</t>
  </si>
  <si>
    <t>5.05e-73</t>
  </si>
  <si>
    <t>COG0251@1|root,COG0251@2|Bacteria,4NQ8M@976|Bacteroidetes,1I2YH@117743|Flavobacteriia,3IVI6@39782|Blattabacteriaceae</t>
  </si>
  <si>
    <t>Endoribonuclease L-PSP</t>
  </si>
  <si>
    <t>yjgF</t>
  </si>
  <si>
    <t>3.5.99.10</t>
  </si>
  <si>
    <t>ko:K09022</t>
  </si>
  <si>
    <t>R11098,R11099</t>
  </si>
  <si>
    <t>RC03275,RC03354</t>
  </si>
  <si>
    <t>ko00000,ko01000</t>
  </si>
  <si>
    <t>Ribonuc_L-PSP</t>
  </si>
  <si>
    <t>COG0251@1|root</t>
  </si>
  <si>
    <t>3IVI6@39782|Blattabacteriaceae</t>
  </si>
  <si>
    <t>1I2YH@117743|Flavobacteriia</t>
  </si>
  <si>
    <t>CDS:Schultesia_I00160, CDS:Schultesia_I00180</t>
  </si>
  <si>
    <t>CDS:Schultesia_I00170</t>
  </si>
  <si>
    <t>1229512.BPAA_016</t>
  </si>
  <si>
    <t>2.04e-131</t>
  </si>
  <si>
    <t>COG1452@1|root,COG1452@2|Bacteria,4NDU3@976|Bacteroidetes,1HWTD@117743|Flavobacteriia,3IVH5@39782|Blattabacteriaceae</t>
  </si>
  <si>
    <t>M</t>
  </si>
  <si>
    <t>OstA-like protein</t>
  </si>
  <si>
    <t>OstA,OstA_2</t>
  </si>
  <si>
    <t>COG1452@1|root</t>
  </si>
  <si>
    <t>3IVH5@39782|Blattabacteriaceae</t>
  </si>
  <si>
    <t>1HWTD@117743|Flavobacteriia</t>
  </si>
  <si>
    <t>556, 623</t>
  </si>
  <si>
    <t>CDS:Schultesia_I00170, CDS:Schultesia_I00190</t>
  </si>
  <si>
    <t>CDS:Schultesia_I00180</t>
  </si>
  <si>
    <t>CDS:Schultesia_I00190</t>
  </si>
  <si>
    <t>8.12e-215</t>
  </si>
  <si>
    <t>CDS:Shelfordella_I03280</t>
  </si>
  <si>
    <t>600809.BPLAN_330</t>
  </si>
  <si>
    <t>CDS:Shelfordella_I03300</t>
  </si>
  <si>
    <t>2.05e-306</t>
  </si>
  <si>
    <t>CDS:Thera_I03190</t>
  </si>
  <si>
    <t>CDS:Thera_I03210</t>
  </si>
  <si>
    <t>CDS:YS-1fin_S58_L003_undetermined_I03510</t>
  </si>
  <si>
    <t>1229512.BPAA_387</t>
  </si>
  <si>
    <t>3.55e-94</t>
  </si>
  <si>
    <t>1075399.BLBCPU_240</t>
  </si>
  <si>
    <t>1.06e-80</t>
  </si>
  <si>
    <t>false duplication due to being ends of the assembly</t>
  </si>
  <si>
    <t>delete the gene (and the orthogroup)</t>
  </si>
  <si>
    <t>473; 652</t>
  </si>
  <si>
    <t>merge the two or delete CDS:CAM19_1_C010_CR_S10_L001_undetermined_I05320</t>
  </si>
  <si>
    <t>early stop codon causing pseudogenization (or PP-gene)</t>
  </si>
  <si>
    <t>Euphyllodromia</t>
  </si>
  <si>
    <t>true duplication?</t>
  </si>
  <si>
    <t>175, 717</t>
  </si>
  <si>
    <t>368, 660</t>
  </si>
  <si>
    <t>383, 784</t>
  </si>
  <si>
    <t>386, 742</t>
  </si>
  <si>
    <t>401, 754</t>
  </si>
  <si>
    <t>409, 712</t>
  </si>
  <si>
    <t>424, 782</t>
  </si>
  <si>
    <t>437, 758</t>
  </si>
  <si>
    <t>443, 710, 715</t>
  </si>
  <si>
    <t>453, 667</t>
  </si>
  <si>
    <t>464, 778, 779</t>
  </si>
  <si>
    <t>475, 721, 708, 743, 741, 694, 734</t>
  </si>
  <si>
    <t>476, 718</t>
  </si>
  <si>
    <t>491, 690</t>
  </si>
  <si>
    <t>493, 788, 789</t>
  </si>
  <si>
    <t>498, 725, 639</t>
  </si>
  <si>
    <t>499, 609, 640, 696, 738</t>
  </si>
  <si>
    <t>506, 702, 713, 759, 763, 716</t>
  </si>
  <si>
    <t>511, 736, 735</t>
  </si>
  <si>
    <t>514, 650, 679, 658</t>
  </si>
  <si>
    <t>533, 691, 689</t>
  </si>
  <si>
    <t>535, 719</t>
  </si>
  <si>
    <t>545, 695</t>
  </si>
  <si>
    <t>571, 680</t>
  </si>
  <si>
    <t>573, 604, 603, 606</t>
  </si>
  <si>
    <t>575, 618</t>
  </si>
  <si>
    <t>580, 699</t>
  </si>
  <si>
    <t>582, 673</t>
  </si>
  <si>
    <t>584, 641</t>
  </si>
  <si>
    <t>585, 663, 740, 678</t>
  </si>
  <si>
    <t>586, 622</t>
  </si>
  <si>
    <t>590, 595, 623</t>
  </si>
  <si>
    <t>598, 569</t>
  </si>
  <si>
    <t>599, 632</t>
  </si>
  <si>
    <t>&gt;orthogroup_717_CDS:YS-1fin_S58_L003_undetermined_I03520</t>
  </si>
  <si>
    <t>possible duplication/error</t>
  </si>
  <si>
    <t>&gt;orthogroup_660_CDS:CAM19_1_C014_CR_S14_L001_Blaberidae_I03940</t>
  </si>
  <si>
    <t>rplW</t>
  </si>
  <si>
    <t>&gt;orthogroup_784_CDS:BL940_S55_L003_Pseudophyllodromiidae_I02760</t>
  </si>
  <si>
    <t>false gene fusion caused by Ns</t>
  </si>
  <si>
    <t>&gt;orthogroup_742_CDS:AU073_S402_Pseudophyllodromiidae_I02670</t>
  </si>
  <si>
    <t>lost stop codon to repeats</t>
  </si>
  <si>
    <t>merge the orthogroups (no need to treat the gene)</t>
  </si>
  <si>
    <t>&gt;orthogroup_754_CDS:AU076_S405_Ectobiidae_I00310</t>
  </si>
  <si>
    <t>tatA</t>
  </si>
  <si>
    <t>row</t>
  </si>
  <si>
    <t>&gt;orthogroup_712_CDS:AU063_S392_Pseudophyllodromiidae_I04920</t>
  </si>
  <si>
    <t>lost domains to repeats</t>
  </si>
  <si>
    <t>pdhC</t>
  </si>
  <si>
    <t>no solution (delete the sample?)</t>
  </si>
  <si>
    <t>&gt;orthogroup_782_CDS:BL940_S55_L003_Pseudophyllodromiidae_I02210</t>
  </si>
  <si>
    <t>highly mutated</t>
  </si>
  <si>
    <t>YtxH</t>
  </si>
  <si>
    <t>&gt;orthogroup_758_CDS:CAM19_2_C020_CR_S21_L002_undetermined_I00680</t>
  </si>
  <si>
    <t>with a repeat inserted</t>
  </si>
  <si>
    <t>grpE</t>
  </si>
  <si>
    <t>&gt;orthogroup_710_CDS:AU063_S392_Pseudophyllodromiidae_I03480</t>
  </si>
  <si>
    <t>&gt;orthogroup_715_CDS:AU097_S426_Pseudophyllodromiidae_I03480</t>
  </si>
  <si>
    <t>rplX</t>
  </si>
  <si>
    <t>&gt;orthogroup_667_CDS:CAM19_1_C074_CR_S73_L001_undetermined_I03380</t>
  </si>
  <si>
    <t>mistake when stitching the two ends of the contig</t>
  </si>
  <si>
    <t>delete the sample (as there are many highly similar genomes) or fix the ends if necessary</t>
  </si>
  <si>
    <t>dUTPase</t>
  </si>
  <si>
    <t>PASTA</t>
  </si>
  <si>
    <t>highly mutated and repeats</t>
  </si>
  <si>
    <t>all</t>
  </si>
  <si>
    <t>query</t>
  </si>
  <si>
    <t>CDS:AU002_S331_undetermined_I03860</t>
  </si>
  <si>
    <t>CDS:AU006_S335_Pseudophyllodromiidae_I01780</t>
  </si>
  <si>
    <t>CDS:AU006_S335_Pseudophyllodromiidae_I02200</t>
  </si>
  <si>
    <t>CDS:AU006_S335_Pseudophyllodromiidae_I02270</t>
  </si>
  <si>
    <t>CDS:AU006_S335_Pseudophyllodromiidae_I02720</t>
  </si>
  <si>
    <t>CDS:AU006_S335_Pseudophyllodromiidae_I05140</t>
  </si>
  <si>
    <t>CDS:AU009_S338_Pseudophyllodromiidae_I02420</t>
  </si>
  <si>
    <t>CDS:AU011_S340_Pseudophyllodromiidae_I03510</t>
  </si>
  <si>
    <t>CDS:AU013_S342_Pseudophyllodromiidae_I01780</t>
  </si>
  <si>
    <t>CDS:AU017_S346_Pseudophyllodromiidae_I03680</t>
  </si>
  <si>
    <t>CDS:AU024_S353_Ectobiidae_I00210</t>
  </si>
  <si>
    <t>CDS:AU033_S362_Pseudophyllodromiidae_I01040</t>
  </si>
  <si>
    <t>CDS:AU033_S362_Pseudophyllodromiidae_I01740</t>
  </si>
  <si>
    <t>CDS:AU035_S364_Pseudophyllodromiidae_I02930</t>
  </si>
  <si>
    <t>CDS:AU035_S364_Pseudophyllodromiidae_I03190</t>
  </si>
  <si>
    <t>CDS:AU035_S364_Pseudophyllodromiidae_I04870</t>
  </si>
  <si>
    <t>CDS:AU039_S368_Pseudophyllodromiidae_I01740</t>
  </si>
  <si>
    <t>CDS:AU039_S368_Pseudophyllodromiidae_I03910</t>
  </si>
  <si>
    <t>CDS:AU042_S371_Blattellidae_I00960</t>
  </si>
  <si>
    <t>CDS:AU044_S373_Ectobiidae_I00080</t>
  </si>
  <si>
    <t>CDS:AU045_S374_Pseudophyllodromiidae_I01770</t>
  </si>
  <si>
    <t>CDS:AU055_S384_Blattellidae_I04680</t>
  </si>
  <si>
    <t>CDS:AU063_S392_Pseudophyllodromiidae_I01760</t>
  </si>
  <si>
    <t>CDS:AU063_S392_Pseudophyllodromiidae_I02840</t>
  </si>
  <si>
    <t>CDS:AU063_S392_Pseudophyllodromiidae_I04890</t>
  </si>
  <si>
    <t>CDS:AU069_S398_Pseudophyllodromiidae_I01760</t>
  </si>
  <si>
    <t>CDS:AU069_S398_Pseudophyllodromiidae_I04650</t>
  </si>
  <si>
    <t>CDS:AU070_S399_Ectobiidae_I00080</t>
  </si>
  <si>
    <t>CDS:AU070_S399_Ectobiidae_I03830</t>
  </si>
  <si>
    <t>CDS:AU074_S403_Anaplectidae_I02130</t>
  </si>
  <si>
    <t>CDS:AU076_S405_Ectobiidae_I03750</t>
  </si>
  <si>
    <t>CDS:AU080_S409_Blattellidae_I04700</t>
  </si>
  <si>
    <t>CDS:AU085_S414_Pseudophyllodromiidae_I01770</t>
  </si>
  <si>
    <t>CDS:AU085_S414_Pseudophyllodromiidae_I04410</t>
  </si>
  <si>
    <t>CDS:AU097_S426_Pseudophyllodromiidae_I01750</t>
  </si>
  <si>
    <t>CDS:BL937_S52_L003_Ectobiidae_I02990</t>
  </si>
  <si>
    <t>CDS:BL937_S52_L003_Ectobiidae_I04940</t>
  </si>
  <si>
    <t>CDS:BL940_S55_L003_Pseudophyllodromiidae_I02010</t>
  </si>
  <si>
    <t>CDS:BL940_S55_L003_Pseudophyllodromiidae_I02530</t>
  </si>
  <si>
    <t>CDS:BL940_S55_L003_Pseudophyllodromiidae_I03280</t>
  </si>
  <si>
    <t>CDS:BL940_S55_L003_Pseudophyllodromiidae_I03290</t>
  </si>
  <si>
    <t>CDS:BL940_S55_L003_Pseudophyllodromiidae_I04060</t>
  </si>
  <si>
    <t>CDS:CAM19_1_C001_CR_S1_L001_undetermined_I00670</t>
  </si>
  <si>
    <t>CDS:CAM19_1_C007_CR_S7_L001_undetermined_I00670</t>
  </si>
  <si>
    <t>CDS:CAM19_1_C009_CR_S9_L001_undetermined_I00670</t>
  </si>
  <si>
    <t>CDS:CAM19_1_C015_CR_S15_L001_undetermined_I00670</t>
  </si>
  <si>
    <t>CDS:CAM19_1_C018_CR_S18_L001_undetermined_I00670</t>
  </si>
  <si>
    <t>CDS:CAM19_1_C019_CR_S19_L001_Anaplectidae_I00150</t>
  </si>
  <si>
    <t>CDS:CAM19_1_C019_CR_S19_L001_Anaplectidae_I00180</t>
  </si>
  <si>
    <t>CDS:CAM19_1_C019_CR_S19_L001_Anaplectidae_I00880</t>
  </si>
  <si>
    <t>CDS:CAM19_1_C019_CR_S19_L001_Anaplectidae_I02570</t>
  </si>
  <si>
    <t>CDS:CAM19_1_C019_CR_S19_L001_Anaplectidae_I03020</t>
  </si>
  <si>
    <t>CDS:CAM19_1_C019_CR_S19_L001_Anaplectidae_I03890</t>
  </si>
  <si>
    <t>CDS:CAM19_1_C021_CR_S21_L001_undetermined_I00670</t>
  </si>
  <si>
    <t>CDS:CAM19_1_C026_CR_S26_L001_undetermined_I01060</t>
  </si>
  <si>
    <t>CDS:CAM19_1_C030_CR_S30_L001_undetermined_I00670</t>
  </si>
  <si>
    <t>CDS:CAM19_1_C031_CR_S31_L001_undetermined_I00670</t>
  </si>
  <si>
    <t>CDS:CAM19_1_C035_CR_S35_L001_undetermined_I00670</t>
  </si>
  <si>
    <t>CDS:CAM19_1_C045_CR_S45_L001_undetermined_I01050</t>
  </si>
  <si>
    <t>CDS:CAM19_1_C049_CR_S49_L001_undetermined_I00670</t>
  </si>
  <si>
    <t>CDS:CAM19_1_C054_CR_S54_L001_Blattidae_I03100</t>
  </si>
  <si>
    <t>CDS:CAM19_1_C054_CR_S54_L001_Blattidae_I03490</t>
  </si>
  <si>
    <t>CDS:CAM19_1_C057_CR_S57_L001_undetermined_I05220</t>
  </si>
  <si>
    <t>CDS:CAM19_1_C068_CR_S68_L001_undetermined_I00670</t>
  </si>
  <si>
    <t>CDS:CAM19_1_C072_CR_S71_L001_undetermined_I00670</t>
  </si>
  <si>
    <t>CDS:CAM19_1_C074_CR_S73_L001_undetermined_I00670</t>
  </si>
  <si>
    <t>CDS:CAM19_1_C084_CR_S82_L001_undetermined_I00670</t>
  </si>
  <si>
    <t>CDS:CAM19_1_C085_CR_S83_L001_undetermined_I00670</t>
  </si>
  <si>
    <t>CDS:CAM19_1_C086_CR_S84_L001_undetermined_I00670</t>
  </si>
  <si>
    <t>CDS:CAM19_1_C091_CR_S87_L001_undetermined_I00670</t>
  </si>
  <si>
    <t>CDS:CAM19_1_C101_CR_S1_L002_undetermined_I00670</t>
  </si>
  <si>
    <t>CDS:CAM19_2_C002_CR_S4_L002_Blaberidae_I01070</t>
  </si>
  <si>
    <t>CDS:CAM19_2_C003_CR_S5_L002_Anaplectidae_I02550</t>
  </si>
  <si>
    <t>CDS:CAM19_2_C003_CR_S5_L002_Anaplectidae_I03520</t>
  </si>
  <si>
    <t>CDS:CAM19_2_C003_CR_S5_L002_Anaplectidae_I04890</t>
  </si>
  <si>
    <t>CDS:CAM19_2_C005_CR_S7_L002_undetermined_I03620</t>
  </si>
  <si>
    <t>CDS:CAM19_2_C015_CR_S16_L002_undetermined_I00670</t>
  </si>
  <si>
    <t>CDS:CAM19_2_C016_CR_S17_L002_undetermined_I00670</t>
  </si>
  <si>
    <t>CDS:CAM19_2_C020_CR_S21_L002_undetermined_I01670</t>
  </si>
  <si>
    <t>CDS:CAM19_2_C020_CR_S21_L002_undetermined_I02010</t>
  </si>
  <si>
    <t>CDS:CAM19_2_C020_CR_S21_L002_undetermined_I02020</t>
  </si>
  <si>
    <t>CDS:CAM19_2_C020_CR_S21_L002_undetermined_I03990</t>
  </si>
  <si>
    <t>CDS:CAM19_2_C020_CR_S21_L002_undetermined_I05000</t>
  </si>
  <si>
    <t>CDS:CAM19_2_C021_CR_S22_L002_undetermined_I00670</t>
  </si>
  <si>
    <t>CDS:CAM19_2_C022_CR_S23_L002_undetermined_I00670</t>
  </si>
  <si>
    <t>CDS:CAM19_2_C023_CR_S24_L002_undetermined_I01430</t>
  </si>
  <si>
    <t>CDS:CAM19_2_C028_CR_S29_L002_undetermined_I00670</t>
  </si>
  <si>
    <t>CDS:CAM19_2_C032_CR_S33_L002_undetermined_I00670</t>
  </si>
  <si>
    <t>CDS:CAM19_2_C033_CR_S34_L002_undetermined_I00670</t>
  </si>
  <si>
    <t>CDS:CAM19_2_C035_CR_S36_L002_undetermined_I01060</t>
  </si>
  <si>
    <t>CDS:CAM19_2_C045_CR_S46_L002_undetermined_I01060</t>
  </si>
  <si>
    <t>CDS:CAM19_2_C054_CR_S55_L002_undetermined_I00670</t>
  </si>
  <si>
    <t>CDS:CAM19_2_C062_CR_S63_L002_undetermined_I01200</t>
  </si>
  <si>
    <t>CDS:CAM19_2_C062_CR_S63_L002_undetermined_I03650</t>
  </si>
  <si>
    <t>CDS:CAM19_2_C065_CR_S66_L002_Pseudophyllodromiidae_I02060</t>
  </si>
  <si>
    <t>CDS:CAM19_2_C065_CR_S66_L002_Pseudophyllodromiidae_I02120</t>
  </si>
  <si>
    <t>CDS:CAM19_2_C065_CR_S66_L002_Pseudophyllodromiidae_I03150</t>
  </si>
  <si>
    <t>CDS:CAM19_2_C074_CR_S75_L002_undetermined_I00670</t>
  </si>
  <si>
    <t>CDS:CAM19_2_C082_CR_S82_L002_undetermined_I01060</t>
  </si>
  <si>
    <t>CDS:CAM19_2_C084_CR_S84_L002_undetermined_I01430</t>
  </si>
  <si>
    <t>CDS:CAM19_2_C091_CR_S89_L002_undetermined_I00670</t>
  </si>
  <si>
    <t>CDS:CAM19_2_C096_CR_S94_L002_undetermined_I00670</t>
  </si>
  <si>
    <t>CDS:CAM19_2_C098_CR_S2_L004_undetermined_I00670</t>
  </si>
  <si>
    <t>CDS:CAM19_2_C100_CR_S4_L004_Anaplectidae_I00150</t>
  </si>
  <si>
    <t>CDS:CAM19_2_C100_CR_S4_L004_Anaplectidae_I03530</t>
  </si>
  <si>
    <t>CDS:CAM19_2_C100_CR_S4_L004_Anaplectidae_I04870</t>
  </si>
  <si>
    <t>CDS:CAM19_2_C103_CR_S7_L004_Blaberidae_I01090</t>
  </si>
  <si>
    <t>CDS:CAM19_2_C103_CR_S7_L004_Blaberidae_I04410</t>
  </si>
  <si>
    <t>CDS:CAM19_2_C109_CR_S12_L004_undetermined_I01060</t>
  </si>
  <si>
    <t>CDS:CAM19_2_C114_CR_S17_L004_undetermined_I01070</t>
  </si>
  <si>
    <t>CDS:CAM19_2_C117_CR_S20_L004_Blaberidae_I01070</t>
  </si>
  <si>
    <t>CDS:CAM19_2_C125_CR_S28_L004_Blattidae_I03060</t>
  </si>
  <si>
    <t>CDS:CAM19_2_C125_CR_S28_L004_Blattidae_I03440</t>
  </si>
  <si>
    <t>CDS:CAM19_2_C129_CR_S31_L004_undetermined_I00990</t>
  </si>
  <si>
    <t>CDS:CAM19_2_C129_CR_S31_L004_undetermined_I01070</t>
  </si>
  <si>
    <t>CDS:CAM19_2_C131_CR_S33_L004_undetermined_I01060</t>
  </si>
  <si>
    <t>CDS:CAM19_2_C133_CR_S35_L004_Blattidae_I03060</t>
  </si>
  <si>
    <t>CDS:CAM19_2_C133_CR_S35_L004_Blattidae_I03440</t>
  </si>
  <si>
    <t>CDS:CAM19_2_C136_CR_S38_L004_undetermined_I01680</t>
  </si>
  <si>
    <t>CDS:CAM19_2_C136_CR_S38_L004_undetermined_I03370</t>
  </si>
  <si>
    <t>CDS:CAM19_2_C149_CR_S49_L004_undetermined_I00870</t>
  </si>
  <si>
    <t>CDS:CAM19_2_C149_CR_S49_L004_undetermined_I01830</t>
  </si>
  <si>
    <t>CDS:CAM19_2_C149_CR_S49_L004_undetermined_I01840</t>
  </si>
  <si>
    <t>CDS:CAM19_2_C149_CR_S49_L004_undetermined_I02570</t>
  </si>
  <si>
    <t>CDS:CAM19_2_C149_CR_S49_L004_undetermined_I03630</t>
  </si>
  <si>
    <t>CDS:CAM19_2_C149_CR_S49_L004_undetermined_I04840</t>
  </si>
  <si>
    <t>CDS:CAM19_2_C153_CR_S52_L004_undetermined_I00990</t>
  </si>
  <si>
    <t>CDS:CAM19_2_C153_CR_S52_L004_undetermined_I01070</t>
  </si>
  <si>
    <t>CDS:CAM19_2_C159_CR_S58_L004_undetermined_I00990</t>
  </si>
  <si>
    <t>CDS:CAM19_2_C159_CR_S58_L004_undetermined_I01070</t>
  </si>
  <si>
    <t>CDS:CAM19_2_C171_CR_S70_L004_Anaplectidae_I00150</t>
  </si>
  <si>
    <t>CDS:CAM19_2_C171_CR_S70_L004_Anaplectidae_I03090</t>
  </si>
  <si>
    <t>CDS:CAM19_2_C171_CR_S70_L004_Anaplectidae_I03560</t>
  </si>
  <si>
    <t>CDS:CAM19_2_C171_CR_S70_L004_Anaplectidae_I04910</t>
  </si>
  <si>
    <t>CDS:CAM19_2_C173_CR_S71_L004_undetermined_I01060</t>
  </si>
  <si>
    <t>CDS:OKE002_S15_L003_Pseudophyllodromiidae_I01800</t>
  </si>
  <si>
    <t>CDS:OKE006_S19_L003_Blaberidae_I00720</t>
  </si>
  <si>
    <t>CDS:OKE009_S22_L003_Blaberidae_I00710</t>
  </si>
  <si>
    <t>CDS:OKE011_S24_L003_Blattellidae_I00260</t>
  </si>
  <si>
    <t>CDS:OKE011_S24_L003_Blattellidae_I00810</t>
  </si>
  <si>
    <t>CDS:OKE011_S24_L003_Blattellidae_I02330</t>
  </si>
  <si>
    <t>CDS:OKE018_S31_L003_Blattidae_I03080</t>
  </si>
  <si>
    <t>CDS:OKE018_S31_L003_Blattidae_I03470</t>
  </si>
  <si>
    <t>CDS:OKE022_S35_L003_undetermined_I01820</t>
  </si>
  <si>
    <t>CDS:OKE022_S35_L003_undetermined_I04420</t>
  </si>
  <si>
    <t>CDS:OKE023_S36_L003_undetermined_I01820</t>
  </si>
  <si>
    <t>CDS:OKE028_S41_L003_undetermined_I01820</t>
  </si>
  <si>
    <t>CDS:YS-1fin_S58_L003_undetermined_I01770</t>
  </si>
  <si>
    <t>CDS:YS-1fin_S58_L003_undetermined_I04150</t>
  </si>
  <si>
    <t>CDS:YS-3-1_S60_L003_Corydiidae_I01790</t>
  </si>
  <si>
    <t>CDS:YS-3-1_S60_L003_Corydiidae_I05100</t>
  </si>
  <si>
    <t>CDS:YS-5_S62_L003_Corydiidae_I01800</t>
  </si>
  <si>
    <t>CDS:YS-5_S62_L003_Corydiidae_I04000</t>
  </si>
  <si>
    <t>CDS:YS-5_S62_L003_Corydiidae_I05100</t>
  </si>
  <si>
    <t>CDS:ZU005_S76_L004_Blaberidae_I01060</t>
  </si>
  <si>
    <t>CDS:ZU007_S78_L004_Ectobiidae_I00270</t>
  </si>
  <si>
    <t>CDS:ZU008_S79_L004_Ectobiidae_I00950</t>
  </si>
  <si>
    <t>CDS:ZU008_S79_L004_Ectobiidae_I02640</t>
  </si>
  <si>
    <t>CDS:ZU010_S81_L004_Blaberidae_I01060</t>
  </si>
  <si>
    <t>CDS:ZU014_S85_L004_Blaberidae_I01060</t>
  </si>
  <si>
    <t>CDS:ZU014_S85_L004_Blaberidae_I06180</t>
  </si>
  <si>
    <t>CDS:ZU016_S87_L004_Blattidae_I03080</t>
  </si>
  <si>
    <t>CDS:ZU016_S87_L004_Blattidae_I03470</t>
  </si>
  <si>
    <t>CDS:ZU017_S88_L004_Blaberidae_I01290</t>
  </si>
  <si>
    <t>CDS:ZU018_S89_L004_Blaberidae_I01060</t>
  </si>
  <si>
    <t>CDS:ZU019_S90_L004_Blattidae_I03100</t>
  </si>
  <si>
    <t>CDS:ZU019_S90_L004_Blattidae_I03490</t>
  </si>
  <si>
    <t>CDS:ZU020_S91_L004_Blattidae_I03100</t>
  </si>
  <si>
    <t>CDS:ZU020_S91_L004_Blattidae_I03490</t>
  </si>
  <si>
    <t>CDS:ZU022_S93_L004_Blattidae_I03110</t>
  </si>
  <si>
    <t>CDS:ZU022_S93_L004_Blattidae_I03500</t>
  </si>
  <si>
    <t>CDS:ZU080_S5_L003_Blaberidae_I01060</t>
  </si>
  <si>
    <t>CDS:ZU080_S5_L003_Blaberidae_I06180</t>
  </si>
  <si>
    <t>CDS:ZU106_S9_L003_Pseudophyllodromiidae_I02290</t>
  </si>
  <si>
    <t>CDS:ZU112_S11_L003_Blattidae_I03100</t>
  </si>
  <si>
    <t>CDS:ZU112_S11_L003_Blattidae_I03490</t>
  </si>
  <si>
    <t>CDS:YS-1fin_S58_L003_undetermined_I03930</t>
  </si>
  <si>
    <t>earlier starting position</t>
  </si>
  <si>
    <t>secG</t>
  </si>
  <si>
    <t>repeat within the gene</t>
  </si>
  <si>
    <t>CDS:CAM19_2_C008_CR_S10_L002_undetermined_I00180</t>
  </si>
  <si>
    <t>surA</t>
  </si>
  <si>
    <t>very short fragment</t>
  </si>
  <si>
    <t>Radical SAM superfamily maturase</t>
  </si>
  <si>
    <t>CDS:CAM19_1_C019_CR_S19_L001_Anaplectidae_I01110</t>
  </si>
  <si>
    <t>DUF4293 (transmembrane)</t>
  </si>
  <si>
    <t>CDS:CAM19_1_C050_CR_S50_L001_Anaplectidae_I01030</t>
  </si>
  <si>
    <t>CDS:CAM19_2_C003_CR_S5_L002_Anaplectidae_I01040</t>
  </si>
  <si>
    <t>later starting position (loss of domain)</t>
  </si>
  <si>
    <t>repeats attached to the gene</t>
  </si>
  <si>
    <t>rhlE</t>
  </si>
  <si>
    <t>repeats</t>
  </si>
  <si>
    <t>merge the orthogroup but careful with alignments</t>
  </si>
  <si>
    <t>ompA</t>
  </si>
  <si>
    <t>pssA</t>
  </si>
  <si>
    <t>some samples have only a few domains</t>
  </si>
  <si>
    <t>DUF4295</t>
  </si>
  <si>
    <t>CDS:AU069_S398_Pseudophyllodromiidae_I01820</t>
  </si>
  <si>
    <t>should be Ppgene</t>
  </si>
  <si>
    <t>add the rest of the domains to the CDS</t>
  </si>
  <si>
    <t>queE</t>
  </si>
  <si>
    <t>porin</t>
  </si>
  <si>
    <t>CDS:CAM19_1_C057_CR_S57_L001_undetermined_I02850</t>
  </si>
  <si>
    <t>CDS:AU028_S357_Ectobiidae_I04140</t>
  </si>
  <si>
    <t>yfiO</t>
  </si>
  <si>
    <t>DUF490/tamB</t>
  </si>
  <si>
    <t>603 and 604 are domains from the same samples</t>
  </si>
  <si>
    <t>only part of the gene</t>
  </si>
  <si>
    <t>merge the genes with the genes from the same samples (false paralogs)</t>
  </si>
  <si>
    <t>livK</t>
  </si>
  <si>
    <t>CDS:CAM19_1_C045_CR_S45_L001_undetermined_I00880</t>
  </si>
  <si>
    <t>gltA</t>
  </si>
  <si>
    <t>merge the gene with the gene from the same samples (false paralogs)</t>
  </si>
  <si>
    <t>loss of domain</t>
  </si>
  <si>
    <t>ThX</t>
  </si>
  <si>
    <t>some transmembrane protein</t>
  </si>
  <si>
    <t>loss of domains</t>
  </si>
  <si>
    <t>cysN</t>
  </si>
  <si>
    <t>cysH</t>
  </si>
  <si>
    <t>rnpA</t>
  </si>
  <si>
    <t>Big_5</t>
  </si>
  <si>
    <t>CDS:OKE006_S19_L003_Blaberidae_I03460</t>
  </si>
  <si>
    <t>CDS:OKE009_S22_L003_Blaberidae_I03450</t>
  </si>
  <si>
    <t>merge with 443…</t>
  </si>
  <si>
    <t>not a gene</t>
  </si>
  <si>
    <t>not a gene or transmembrane</t>
  </si>
  <si>
    <t>delete</t>
  </si>
  <si>
    <t>hypothetical protein</t>
  </si>
  <si>
    <t>only found in some Blaberidae</t>
  </si>
  <si>
    <t>only found (and conserved) in some Blattidae (between metG and tRNA-ser)</t>
  </si>
  <si>
    <t>only found in some Blattidae</t>
  </si>
  <si>
    <t>no need to fix</t>
  </si>
  <si>
    <t>mean_GC_in_orthogroup</t>
  </si>
  <si>
    <t>CDS:AU002_S331_undetermined_I03070</t>
  </si>
  <si>
    <t>Phosphate-selective porin O and P</t>
  </si>
  <si>
    <t>Porin_O_P</t>
  </si>
  <si>
    <t>CDS:AU002_S331_undetermined_I05020</t>
  </si>
  <si>
    <t>PASTA domain</t>
  </si>
  <si>
    <t>spk1</t>
  </si>
  <si>
    <t>CDS:AU006_S335_Pseudophyllodromiidae_I00310</t>
  </si>
  <si>
    <t>Part of the twin-arginine translocation (Tat) system that transports large folded proteins containing a characteristic twin-arginine motif in their signal peptide across membranes. TatA could form the protein-conducting channel of the Tat system</t>
  </si>
  <si>
    <t>MttA_Hcf106</t>
  </si>
  <si>
    <t>CDS:AU006_S335_Pseudophyllodromiidae_I01010</t>
  </si>
  <si>
    <t>Belongs to the bacterial ribosomal protein bL28 family</t>
  </si>
  <si>
    <t>rpmB</t>
  </si>
  <si>
    <t>Ribosomal_L28</t>
  </si>
  <si>
    <t>CDS:AU006_S335_Pseudophyllodromiidae_I02050</t>
  </si>
  <si>
    <t>CDS:AU006_S335_Pseudophyllodromiidae_I03520</t>
  </si>
  <si>
    <t>One of the proteins that surrounds the polypeptide exit tunnel on the outside of the subunit</t>
  </si>
  <si>
    <t>KOW,ribosomal_L24</t>
  </si>
  <si>
    <t>443, 651, 710, 715</t>
  </si>
  <si>
    <t>CDS:AU006_S335_Pseudophyllodromiidae_I03610</t>
  </si>
  <si>
    <t>One of the early assembly proteins it binds 23S rRNA. One of the proteins that surrounds the polypeptide exit tunnel on the outside of the ribosome. Forms the main docking site for trigger factor binding to the ribosome</t>
  </si>
  <si>
    <t>Ribosomal_L23</t>
  </si>
  <si>
    <t>CDS:AU006_S335_Pseudophyllodromiidae_I04690</t>
  </si>
  <si>
    <t>CDS:AU008_S337_Pseudophyllodromiidae_I02040</t>
  </si>
  <si>
    <t>CDS:AU008_S337_Pseudophyllodromiidae_I02110</t>
  </si>
  <si>
    <t>Ribosomal protein S20</t>
  </si>
  <si>
    <t>rpsT</t>
  </si>
  <si>
    <t>Ribosomal_S20p</t>
  </si>
  <si>
    <t>CDS:AU008_S337_Pseudophyllodromiidae_I03490</t>
  </si>
  <si>
    <t>CDS:AU008_S337_Pseudophyllodromiidae_I03560</t>
  </si>
  <si>
    <t>Protein S19 forms a complex with S13 that binds strongly to the 16S ribosomal RNA</t>
  </si>
  <si>
    <t>rpsS</t>
  </si>
  <si>
    <t>Ribosomal_S19</t>
  </si>
  <si>
    <t>CDS:AU009_S338_Pseudophyllodromiidae_I03920</t>
  </si>
  <si>
    <t>Protein of unknown function (DUF3276)</t>
  </si>
  <si>
    <t>DUF3276</t>
  </si>
  <si>
    <t>CDS:AU011_S340_Pseudophyllodromiidae_I01040</t>
  </si>
  <si>
    <t>Facilitates transcription termination by a mechanism that involves Rho binding to the nascent RNA, activation of Rho's RNA-dependent ATPase activity, and release of the mRNA from the DNA template</t>
  </si>
  <si>
    <t>rho</t>
  </si>
  <si>
    <t>ATP-synt_ab,Rho_N,Rho_RNA_bind</t>
  </si>
  <si>
    <t>CDS:AU011_S340_Pseudophyllodromiidae_I02000</t>
  </si>
  <si>
    <t>CDS:AU011_S340_Pseudophyllodromiidae_I03420</t>
  </si>
  <si>
    <t>CDS:AU013_S342_Pseudophyllodromiidae_I02050</t>
  </si>
  <si>
    <t>CDS:AU013_S342_Pseudophyllodromiidae_I03490</t>
  </si>
  <si>
    <t>CDS:AU017_S346_Pseudophyllodromiidae_I01060</t>
  </si>
  <si>
    <t>CDS:AU017_S346_Pseudophyllodromiidae_I02020</t>
  </si>
  <si>
    <t>CDS:AU017_S346_Pseudophyllodromiidae_I03530</t>
  </si>
  <si>
    <t>CDS:AU018_S347_Ectobiidae_I03030</t>
  </si>
  <si>
    <t>CDS:AU018_S347_Ectobiidae_I03800</t>
  </si>
  <si>
    <t>Ribosomal L29 protein</t>
  </si>
  <si>
    <t>Ribosomal_L29</t>
  </si>
  <si>
    <t>CDS:AU018_S347_Ectobiidae_I04970</t>
  </si>
  <si>
    <t>CDS:AU023_S352_Blattellidae_I01880</t>
  </si>
  <si>
    <t>CDS:AU023_S352_Blattellidae_I02280</t>
  </si>
  <si>
    <t>NlpC/P60 family</t>
  </si>
  <si>
    <t>spr</t>
  </si>
  <si>
    <t>NLPC_P60</t>
  </si>
  <si>
    <t>CDS:AU023_S352_Blattellidae_I04980</t>
  </si>
  <si>
    <t>CDS:AU024_S353_Ectobiidae_I03010</t>
  </si>
  <si>
    <t>CDS:AU027_S356_Ectobiidae_I03040</t>
  </si>
  <si>
    <t>CDS:AU027_S356_Ectobiidae_I03810</t>
  </si>
  <si>
    <t>CDS:AU027_S356_Ectobiidae_I04980</t>
  </si>
  <si>
    <t>CDS:AU028_S357_Ectobiidae_I03030</t>
  </si>
  <si>
    <t>CDS:AU028_S357_Ectobiidae_I04990</t>
  </si>
  <si>
    <t>CDS:AU033_S362_Pseudophyllodromiidae_I03520</t>
  </si>
  <si>
    <t>CDS:AU034_S363_Blattellidae_I02260</t>
  </si>
  <si>
    <t>ccoQ</t>
  </si>
  <si>
    <t>CDS:AU039_S368_Pseudophyllodromiidae_I02020</t>
  </si>
  <si>
    <t>CDS:AU039_S368_Pseudophyllodromiidae_I03550</t>
  </si>
  <si>
    <t>CDS:AU039_S368_Pseudophyllodromiidae_I03920</t>
  </si>
  <si>
    <t>CDS:AU042_S371_Blattellidae_I01910</t>
  </si>
  <si>
    <t>CDS:AU042_S371_Blattellidae_I05030</t>
  </si>
  <si>
    <t>CDS:AU044_S373_Ectobiidae_I03080</t>
  </si>
  <si>
    <t>CDS:AU044_S373_Ectobiidae_I05020</t>
  </si>
  <si>
    <t>CDS:AU045_S374_Pseudophyllodromiidae_I00960</t>
  </si>
  <si>
    <t>EXOIII</t>
  </si>
  <si>
    <t>RNase_T</t>
  </si>
  <si>
    <t>CDS:AU045_S374_Pseudophyllodromiidae_I02040</t>
  </si>
  <si>
    <t>CDS:AU045_S374_Pseudophyllodromiidae_I03510</t>
  </si>
  <si>
    <t>CDS:AU045_S374_Pseudophyllodromiidae_I03600</t>
  </si>
  <si>
    <t>CDS:AU049_S378_undetermined_I02320</t>
  </si>
  <si>
    <t>Binds directly to 16S ribosomal RNA</t>
  </si>
  <si>
    <t>CDS:AU049_S378_undetermined_I02340</t>
  </si>
  <si>
    <t>CDS:AU053_S382_Ectobiidae_I03010</t>
  </si>
  <si>
    <t>CDS:AU053_S382_Ectobiidae_I04950</t>
  </si>
  <si>
    <t>CDS:AU054_S383_undetermined_I02320</t>
  </si>
  <si>
    <t>CDS:AU054_S383_undetermined_I02340</t>
  </si>
  <si>
    <t>CDS:AU057_S386_Pseudophyllodromiidae_I01040</t>
  </si>
  <si>
    <t>CDS:AU057_S386_Pseudophyllodromiidae_I02000</t>
  </si>
  <si>
    <t>CDS:AU057_S386_Pseudophyllodromiidae_I03410</t>
  </si>
  <si>
    <t>CDS:AU057_S386_Pseudophyllodromiidae_I03500</t>
  </si>
  <si>
    <t>CDS:AU057_S386_Pseudophyllodromiidae_I04540</t>
  </si>
  <si>
    <t>CDS:AU062_S391_Ectobiidae_I03070</t>
  </si>
  <si>
    <t>CDS:AU062_S391_Ectobiidae_I05020</t>
  </si>
  <si>
    <t>CDS:AU063_S392_Pseudophyllodromiidae_I03570</t>
  </si>
  <si>
    <t>CDS:AU069_S398_Pseudophyllodromiidae_I00310</t>
  </si>
  <si>
    <t>CDS:AU069_S398_Pseudophyllodromiidae_I01070</t>
  </si>
  <si>
    <t>CDS:AU069_S398_Pseudophyllodromiidae_I02030</t>
  </si>
  <si>
    <t>CDS:AU069_S398_Pseudophyllodromiidae_I03470</t>
  </si>
  <si>
    <t>CDS:AU069_S398_Pseudophyllodromiidae_I03560</t>
  </si>
  <si>
    <t>CDS:AU070_S399_Ectobiidae_I03040</t>
  </si>
  <si>
    <t>CDS:AU070_S399_Ectobiidae_I04990</t>
  </si>
  <si>
    <t>CDS:AU073_S402_Pseudophyllodromiidae_I03500</t>
  </si>
  <si>
    <t>CDS:AU074_S403_Anaplectidae_I03040</t>
  </si>
  <si>
    <t>CDS:AU074_S403_Anaplectidae_I04980</t>
  </si>
  <si>
    <t>CDS:AU076_S405_Ectobiidae_I02660</t>
  </si>
  <si>
    <t>Binds as a heterodimer with protein S6 to the central domain of the 16S rRNA, where it helps stabilize the platform of the 30S subunit</t>
  </si>
  <si>
    <t>rpsR</t>
  </si>
  <si>
    <t>Ribosomal_S18</t>
  </si>
  <si>
    <t>426, 727, 771</t>
  </si>
  <si>
    <t>CDS:AU076_S405_Ectobiidae_I03600</t>
  </si>
  <si>
    <t>Belongs to the universal ribosomal protein uS2 family</t>
  </si>
  <si>
    <t>rpsB</t>
  </si>
  <si>
    <t>Ribosomal_S2</t>
  </si>
  <si>
    <t>CDS:AU078_S407_Pseudophyllodromiidae_I02020</t>
  </si>
  <si>
    <t>CDS:AU078_S407_Pseudophyllodromiidae_I03440</t>
  </si>
  <si>
    <t>CDS:AU078_S407_Pseudophyllodromiidae_I03530</t>
  </si>
  <si>
    <t>CDS:AU085_S414_Pseudophyllodromiidae_I01060</t>
  </si>
  <si>
    <t>CDS:AU085_S414_Pseudophyllodromiidae_I02040</t>
  </si>
  <si>
    <t>CDS:AU085_S414_Pseudophyllodromiidae_I03450</t>
  </si>
  <si>
    <t>CDS:AU085_S414_Pseudophyllodromiidae_I03540</t>
  </si>
  <si>
    <t>CDS:AU085_S414_Pseudophyllodromiidae_I04600</t>
  </si>
  <si>
    <t>CDS:AU096_S425_Ectobiidae_I03070</t>
  </si>
  <si>
    <t>CDS:AU097_S426_Pseudophyllodromiidae_I03570</t>
  </si>
  <si>
    <t>CDS:AU097_S426_Pseudophyllodromiidae_I04630</t>
  </si>
  <si>
    <t>CDS:BL940_S55_L003_Pseudophyllodromiidae_I02980</t>
  </si>
  <si>
    <t>Transglycosylase</t>
  </si>
  <si>
    <t>mrcA</t>
  </si>
  <si>
    <t>Transgly,Transpeptidase</t>
  </si>
  <si>
    <t>CDS:CAM19_1_C002_CR_S2_L001_undetermined_I02310</t>
  </si>
  <si>
    <t>CDS:CAM19_1_C010_CR_S10_L001_undetermined_I01330</t>
  </si>
  <si>
    <t>MafB19-like deaminase</t>
  </si>
  <si>
    <t>comEB</t>
  </si>
  <si>
    <t>dCMP_cyt_deam_1</t>
  </si>
  <si>
    <t>CDS:CAM19_1_C010_CR_S10_L001_undetermined_I04980</t>
  </si>
  <si>
    <t>CDS:CAM19_1_C016_CR_S16_L001_undetermined_I02310</t>
  </si>
  <si>
    <t>CDS:CAM19_1_C019_CR_S19_L001_Anaplectidae_I00950</t>
  </si>
  <si>
    <t>Septum formation initiator</t>
  </si>
  <si>
    <t>DivIC</t>
  </si>
  <si>
    <t>CDS:CAM19_1_C019_CR_S19_L001_Anaplectidae_I03390</t>
  </si>
  <si>
    <t>Ribosomal protein L17</t>
  </si>
  <si>
    <t>rplQ</t>
  </si>
  <si>
    <t>Ribosomal_L17</t>
  </si>
  <si>
    <t>CDS:CAM19_1_C019_CR_S19_L001_Anaplectidae_I03730</t>
  </si>
  <si>
    <t>CDS:CAM19_1_C019_CR_S19_L001_Anaplectidae_I04000</t>
  </si>
  <si>
    <t>CDS:CAM19_1_C026_CR_S26_L001_undetermined_I02320</t>
  </si>
  <si>
    <t>CDS:CAM19_1_C033_CR_S33_L001_undetermined_I02310</t>
  </si>
  <si>
    <t>CDS:CAM19_1_C042_CR_S42_L001_undetermined_I02310</t>
  </si>
  <si>
    <t>CDS:CAM19_1_C043_CR_S43_L001_undetermined_I02320</t>
  </si>
  <si>
    <t>CDS:CAM19_1_C044_CR_S44_L001_undetermined_I02310</t>
  </si>
  <si>
    <t>CDS:CAM19_1_C045_CR_S45_L001_undetermined_I00320</t>
  </si>
  <si>
    <t>CDS:CAM19_1_C045_CR_S45_L001_undetermined_I00330</t>
  </si>
  <si>
    <t>membrane-bound lytic murein transglycosylase</t>
  </si>
  <si>
    <t>mltD</t>
  </si>
  <si>
    <t>LysM,SLT</t>
  </si>
  <si>
    <t>CDS:CAM19_1_C045_CR_S45_L001_undetermined_I01190</t>
  </si>
  <si>
    <t>CDS:CAM19_1_C045_CR_S45_L001_undetermined_I02060</t>
  </si>
  <si>
    <t>CDS:CAM19_1_C045_CR_S45_L001_undetermined_I03610</t>
  </si>
  <si>
    <t>CDS:CAM19_1_C045_CR_S45_L001_undetermined_I04690</t>
  </si>
  <si>
    <t>CDS:CAM19_1_C050_CR_S50_L001_Anaplectidae_I00670</t>
  </si>
  <si>
    <t>Participates actively in the response to hyperosmotic and heat shock by preventing the aggregation of stress-denatured proteins, in association with DnaK and GrpE. It is the nucleotide exchange factor for DnaK and may function as a thermosensor. Unfolded proteins bind initially to DnaJ</t>
  </si>
  <si>
    <t>GrpE</t>
  </si>
  <si>
    <t>CDS:CAM19_1_C050_CR_S50_L001_Anaplectidae_I02010</t>
  </si>
  <si>
    <t>CDS:CAM19_1_C050_CR_S50_L001_Anaplectidae_I02560</t>
  </si>
  <si>
    <t>CDS:CAM19_1_C050_CR_S50_L001_Anaplectidae_I03480</t>
  </si>
  <si>
    <t>CDS:CAM19_1_C054_CR_S54_L001_Blattidae_I02330</t>
  </si>
  <si>
    <t>CDS:CAM19_1_C057_CR_S57_L001_undetermined_I00900</t>
  </si>
  <si>
    <t>CDS:CAM19_1_C057_CR_S57_L001_undetermined_I04690</t>
  </si>
  <si>
    <t>CDS:CAM19_1_C073_CR_S72_L001_undetermined_I05730</t>
  </si>
  <si>
    <t>Protein of unknown function (DUF2795)</t>
  </si>
  <si>
    <t>DUF2795</t>
  </si>
  <si>
    <t>CDS:CAM19_2_C002_CR_S4_L002_Blaberidae_I05990</t>
  </si>
  <si>
    <t>Ribosome-binding factor A</t>
  </si>
  <si>
    <t>nfsA</t>
  </si>
  <si>
    <t>RBFA</t>
  </si>
  <si>
    <t>CDS:CAM19_2_C003_CR_S5_L002_Anaplectidae_I02590</t>
  </si>
  <si>
    <t>CDS:CAM19_2_C005_CR_S7_L002_undetermined_I03430</t>
  </si>
  <si>
    <t>CDS:CAM19_2_C005_CR_S7_L002_undetermined_I03630</t>
  </si>
  <si>
    <t>CDS:CAM19_2_C005_CR_S7_L002_undetermined_I03930</t>
  </si>
  <si>
    <t>CDS:CAM19_2_C005_CR_S7_L002_undetermined_I04930</t>
  </si>
  <si>
    <t>Surface antigen</t>
  </si>
  <si>
    <t>yaeT</t>
  </si>
  <si>
    <t>Bac_surface_Ag,POTRA</t>
  </si>
  <si>
    <t>CDS:CAM19_2_C008_CR_S10_L002_undetermined_I04750</t>
  </si>
  <si>
    <t>CDS:CAM19_2_C020_CR_S21_L002_undetermined_I00870</t>
  </si>
  <si>
    <t>CDS:CAM19_2_C030_CR_S31_L002_undetermined_I02320</t>
  </si>
  <si>
    <t>CDS:CAM19_2_C035_CR_S36_L002_undetermined_I02320</t>
  </si>
  <si>
    <t>CDS:CAM19_2_C045_CR_S46_L002_undetermined_I02320</t>
  </si>
  <si>
    <t>CDS:CAM19_2_C051_CR_S52_L002_undetermined_I02330</t>
  </si>
  <si>
    <t>CDS:CAM19_2_C062_CR_S63_L002_undetermined_I01010</t>
  </si>
  <si>
    <t>CDS:CAM19_2_C062_CR_S63_L002_undetermined_I04150</t>
  </si>
  <si>
    <t>This protein is located at the 30S-50S ribosomal subunit interface and may play a role in the structure and function of the aminoacyl-tRNA binding site</t>
  </si>
  <si>
    <t>rplS</t>
  </si>
  <si>
    <t>Ribosomal_L19</t>
  </si>
  <si>
    <t>CDS:CAM19_2_C062_CR_S63_L002_undetermined_I04680</t>
  </si>
  <si>
    <t>CDS:CAM19_2_C065_CR_S66_L002_Pseudophyllodromiidae_I00890</t>
  </si>
  <si>
    <t>CDS:CAM19_2_C065_CR_S66_L002_Pseudophyllodromiidae_I02620</t>
  </si>
  <si>
    <t>chorismate mutase</t>
  </si>
  <si>
    <t>CM_2,DAHP_synth_1</t>
  </si>
  <si>
    <t>CDS:CAM19_2_C073_CR_S74_L002_undetermined_I02320</t>
  </si>
  <si>
    <t>CDS:CAM19_2_C082_CR_S82_L002_undetermined_I02320</t>
  </si>
  <si>
    <t>CDS:CAM19_2_C100_CR_S4_L004_Anaplectidae_I02600</t>
  </si>
  <si>
    <t>CDS:CAM19_2_C103_CR_S7_L004_Blaberidae_I05530</t>
  </si>
  <si>
    <t>Carrier of the growing fatty acid chain in fatty acid biosynthesis</t>
  </si>
  <si>
    <t>acpP</t>
  </si>
  <si>
    <t>PP-binding</t>
  </si>
  <si>
    <t>CDS:CAM19_2_C109_CR_S12_L004_undetermined_I02320</t>
  </si>
  <si>
    <t>CDS:CAM19_2_C114_CR_S17_L004_undetermined_I05990</t>
  </si>
  <si>
    <t>CDS:CAM19_2_C117_CR_S20_L004_Blaberidae_I05980</t>
  </si>
  <si>
    <t>CDS:CAM19_2_C127_CR_S30_L004_undetermined_I03870</t>
  </si>
  <si>
    <t>The globular domain of the protein is located near the polypeptide exit tunnel on the outside of the subunit, while an extended beta-hairpin is found that lines the wall of the exit tunnel in the center of the 70S ribosome</t>
  </si>
  <si>
    <t>rplV</t>
  </si>
  <si>
    <t>Ribosomal_L22</t>
  </si>
  <si>
    <t>CDS:CAM19_2_C131_CR_S33_L004_undetermined_I02320</t>
  </si>
  <si>
    <t>CDS:CAM19_2_C134_CR_S36_L004_undetermined_I02310</t>
  </si>
  <si>
    <t>CDS:CAM19_2_C136_CR_S38_L004_undetermined_I01010</t>
  </si>
  <si>
    <t>CDS:CAM19_2_C136_CR_S38_L004_undetermined_I02570</t>
  </si>
  <si>
    <t>CDS:CAM19_2_C136_CR_S38_L004_undetermined_I04480</t>
  </si>
  <si>
    <t>CDS:CAM19_2_C149_CR_S49_L004_undetermined_I04300</t>
  </si>
  <si>
    <t>Domain of unknown function (DUF4290)</t>
  </si>
  <si>
    <t>DUF4290</t>
  </si>
  <si>
    <t>CDS:CAM19_2_C166_CR_S65_L004_Corydiidae_I00930</t>
  </si>
  <si>
    <t>CDS:CAM19_2_C166_CR_S65_L004_Corydiidae_I01270</t>
  </si>
  <si>
    <t>CDS:CAM19_2_C166_CR_S65_L004_Corydiidae_I01880</t>
  </si>
  <si>
    <t>CDS:CAM19_2_C166_CR_S65_L004_Corydiidae_I05940</t>
  </si>
  <si>
    <t>Could be involved in insertion of integral membrane proteins into the membrane</t>
  </si>
  <si>
    <t>yidD</t>
  </si>
  <si>
    <t>Haemolytic</t>
  </si>
  <si>
    <t>CDS:CAM19_2_C171_CR_S70_L004_Anaplectidae_I02610</t>
  </si>
  <si>
    <t>CDS:CAM19_2_C173_CR_S71_L004_undetermined_I02320</t>
  </si>
  <si>
    <t>CDS:OKE002_S15_L003_Pseudophyllodromiidae_I02220</t>
  </si>
  <si>
    <t>Belongs to the ompA family</t>
  </si>
  <si>
    <t>OMP_b-brl,OmpA,TSP_3</t>
  </si>
  <si>
    <t>CDS:OKE002_S15_L003_Pseudophyllodromiidae_I03580</t>
  </si>
  <si>
    <t>PPgene:OKE004_S17_L003_Blattellidae_I01350</t>
  </si>
  <si>
    <t>CDS:OKE004_S17_L003_Blattellidae_I02310</t>
  </si>
  <si>
    <t>CDS:OKE006_S19_L003_Blaberidae_I00370</t>
  </si>
  <si>
    <t>CDS:OKE009_S22_L003_Blaberidae_I00370</t>
  </si>
  <si>
    <t>CDS:OKE010_S23_L003_Blaberidae_I01020</t>
  </si>
  <si>
    <t>CDS:OKE011_S24_L003_Blattellidae_I03490</t>
  </si>
  <si>
    <t>CDS:OKE019_S32_L003_Blaberidae_I02310</t>
  </si>
  <si>
    <t>CDS:OKE019_S32_L003_Blaberidae_I05510</t>
  </si>
  <si>
    <t>CDS:OKE022_S35_L003_undetermined_I03600</t>
  </si>
  <si>
    <t>CDS:OKE023_S36_L003_undetermined_I03590</t>
  </si>
  <si>
    <t>PPgene:OKE024_S37_L003_undetermined_I01350</t>
  </si>
  <si>
    <t>CDS:OKE024_S37_L003_undetermined_I02310</t>
  </si>
  <si>
    <t>CDS:OKE028_S41_L003_undetermined_I03590</t>
  </si>
  <si>
    <t>CDS:YS-1fin_S58_L003_undetermined_I03530</t>
  </si>
  <si>
    <t>CDS:YS-1fin_S58_L003_undetermined_I04680</t>
  </si>
  <si>
    <t>CDS:YS-2-1_S59_L003_undetermined_I02320</t>
  </si>
  <si>
    <t>CDS:YS-3-1_S60_L003_Corydiidae_I01010</t>
  </si>
  <si>
    <t>Domain of unknown function (DUF4295)</t>
  </si>
  <si>
    <t>CDS:YS-3-1_S60_L003_Corydiidae_I03670</t>
  </si>
  <si>
    <t>CDS:YS-5_S62_L003_Corydiidae_I01020</t>
  </si>
  <si>
    <t>CDS:YS-5_S62_L003_Corydiidae_I04720</t>
  </si>
  <si>
    <t>Ferrous iron transport protein A</t>
  </si>
  <si>
    <t>feoA</t>
  </si>
  <si>
    <t>FeoA</t>
  </si>
  <si>
    <t>CDS:ZU001_S72_L004_Blattellidae_I02320</t>
  </si>
  <si>
    <t>CDS:ZU003_S74_L004_Blattellidae_I02320</t>
  </si>
  <si>
    <t>CDS:ZU007_S78_L004_Ectobiidae_I04990</t>
  </si>
  <si>
    <t>CDS:ZU008_S79_L004_Ectobiidae_I03770</t>
  </si>
  <si>
    <t>Outer membrane assembly lipoprotein YfiO</t>
  </si>
  <si>
    <t>YfiO</t>
  </si>
  <si>
    <t>CDS:ZU009_S80_L004_Blaberidae_I02320</t>
  </si>
  <si>
    <t>CDS:ZU009_S80_L004_Blaberidae_I05510</t>
  </si>
  <si>
    <t>CDS:ZU013_S84_L004_Blaberidae_I02320</t>
  </si>
  <si>
    <t>CDS:ZU013_S84_L004_Blaberidae_I05510</t>
  </si>
  <si>
    <t>CDS:ZU015_S86_L004_Blaberidae_I02310</t>
  </si>
  <si>
    <t>CDS:ZU015_S86_L004_Blaberidae_I05500</t>
  </si>
  <si>
    <t>CDS:ZU016_S87_L004_Blattidae_I05470</t>
  </si>
  <si>
    <t>CDS:ZU020_S91_L004_Blattidae_I02330</t>
  </si>
  <si>
    <t>CDS:ZU021_S92_L004_Ectobiidae_I04980</t>
  </si>
  <si>
    <t>CDS:ZU021_S92_L004_Ectobiidae_I05010</t>
  </si>
  <si>
    <t>CDS:ZU022_S93_L004_Blattidae_I02340</t>
  </si>
  <si>
    <t>CDS:ZU076_S4_L003_Blaberidae_I02380</t>
  </si>
  <si>
    <t>PPgene:ZU091_S7_L003_Blaberidae_I01280</t>
  </si>
  <si>
    <t>D-fructose-1,6-bisphosphate 1-phosphohydrolase class 1</t>
  </si>
  <si>
    <t>fbp</t>
  </si>
  <si>
    <t>FBPase</t>
  </si>
  <si>
    <t>CDS:ZU096_S8_L003_Blaberidae_I02320</t>
  </si>
  <si>
    <t>CDS:ZU106_S9_L003_Pseudophyllodromiidae_I02010</t>
  </si>
  <si>
    <t>CDS:ZU106_S9_L003_Pseudophyllodromiidae_I03480</t>
  </si>
  <si>
    <t>CDS:ZU106_S9_L003_Pseudophyllodromiidae_I03520</t>
  </si>
  <si>
    <t>CDS:ZU106_S9_L003_Pseudophyllodromiidae_I03540</t>
  </si>
  <si>
    <t>CDS:ZU106_S9_L003_Pseudophyllodromiidae_I04120</t>
  </si>
  <si>
    <t>Essential subunit of the Sec protein translocation channel SecYEG. Clamps together the 2 halves of SecY. May contact the channel plug during translocation</t>
  </si>
  <si>
    <t>secE</t>
  </si>
  <si>
    <t>SecE</t>
  </si>
  <si>
    <t>CDS:ZU112_S11_L003_Blattidae_I02310</t>
  </si>
  <si>
    <t>CDS:ZU112_S11_L003_Blattidae_I02330</t>
  </si>
  <si>
    <t>CDS:CAM19_1_C025_CR_S25_L001_undetermined_I00840</t>
  </si>
  <si>
    <t>CDS:CAM19_2_C108_CR_S11_L004_undetermined_I00860</t>
  </si>
  <si>
    <t>extra long due to repeats</t>
  </si>
  <si>
    <t>affected gene</t>
  </si>
  <si>
    <t>gene fusion</t>
  </si>
  <si>
    <t>copy to orthogroup 435</t>
  </si>
  <si>
    <t>tyrA, pheB</t>
  </si>
  <si>
    <t>pssA, dnaQ</t>
  </si>
  <si>
    <t>copy to orthogroup 511</t>
  </si>
  <si>
    <t>slightly longer due to starting position uncertainty</t>
  </si>
  <si>
    <t>ends of the original contig</t>
  </si>
  <si>
    <t>repeats in the middle of the gene</t>
  </si>
  <si>
    <t>DUF4296</t>
  </si>
  <si>
    <t>slightly longer due to stop position uncertainty</t>
  </si>
  <si>
    <t>no need to fix?</t>
  </si>
  <si>
    <t>sum</t>
  </si>
  <si>
    <t>delete the orthogroup</t>
  </si>
  <si>
    <t>spanning a long gap</t>
  </si>
  <si>
    <t>possible duplication/error, near a gap</t>
  </si>
  <si>
    <t>yfio?</t>
  </si>
  <si>
    <t>copy the gene to orthogroup 374</t>
  </si>
  <si>
    <t>rpsA</t>
  </si>
  <si>
    <t>change the gene names to PPgenes and then merge the orthogroups</t>
  </si>
  <si>
    <t>most of the samples only have domains (CAM19_1_C010_CR_S10_L001 has two domains in two CDS)</t>
  </si>
  <si>
    <t>merge the orthogroups and change the names</t>
  </si>
  <si>
    <t>on plasmid (why is this gene on plasmid convergently?)</t>
  </si>
  <si>
    <t>notes: repeats</t>
  </si>
  <si>
    <t xml:space="preserve">notes: </t>
  </si>
  <si>
    <t>notes: contains error but still aligned</t>
  </si>
  <si>
    <t>contains signal and chain peptides</t>
  </si>
  <si>
    <t>notes: signal and chain peptides</t>
  </si>
  <si>
    <t>notes: contains repeats within the gene</t>
  </si>
  <si>
    <t>some samples have repeats within the gene</t>
  </si>
  <si>
    <t>notes:some samples have repeats within the gene</t>
  </si>
  <si>
    <t>notes: possible duplication/error</t>
  </si>
  <si>
    <t>notes: some samples have repeats near the C-terminus</t>
  </si>
  <si>
    <t>notes: have repeats near the C-terminus</t>
  </si>
  <si>
    <t>Ppgene or pseudogene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</si>
</sst>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sz val="14"/>
      <color rgb="FF000000"/>
      <name val="Menlo"/>
      <family val="2"/>
    </font>
    <font>
      <sz val="11"/>
      <color rgb="FF000000"/>
      <name val="Lucida Grande"/>
      <family val="2"/>
    </font>
    <font>
      <sz val="12"/>
      <color theme="1"/>
      <name val="Aptos Narrow"/>
      <scheme val="minor"/>
    </font>
    <font>
      <sz val="14"/>
      <color rgb="FF4D5156"/>
      <name val="Arial"/>
      <family val="2"/>
    </font>
    <font>
      <sz val="8"/>
      <name val="Aptos Narrow"/>
      <family val="2"/>
      <scheme val="minor"/>
    </font>
  </fonts>
  <fills count="3">
    <fill>
      <patternFill patternType="none"/>
    </fill>
    <fill>
      <patternFill patternType="gray125"/>
    </fill>
    <fill>
      <patternFill patternType="solid">
        <fgColor theme="9" tint="0.39997558519241921"/>
        <bgColor indexed="64"/>
      </patternFill>
    </fill>
  </fills>
  <borders count="1">
    <border>
      <left/>
      <right/>
      <top/>
      <bottom/>
      <diagonal/>
    </border>
  </borders>
  <cellStyleXfs count="1">
    <xf numFmtId="0" fontId="0" fillId="0" borderId="0"/>
  </cellStyleXfs>
  <cellXfs count="10">
    <xf numFmtId="0" fontId="0" fillId="0" borderId="0" xfId="0"/>
    <xf numFmtId="49" fontId="0" fillId="0" borderId="0" xfId="0" applyNumberFormat="1"/>
    <xf numFmtId="0" fontId="1" fillId="0" borderId="0" xfId="0" applyFont="1"/>
    <xf numFmtId="49" fontId="0" fillId="2" borderId="0" xfId="0" applyNumberFormat="1" applyFill="1"/>
    <xf numFmtId="0" fontId="0" fillId="2" borderId="0" xfId="0" applyFill="1"/>
    <xf numFmtId="0" fontId="2" fillId="0" borderId="0" xfId="0" applyFont="1"/>
    <xf numFmtId="0" fontId="0" fillId="0" borderId="0" xfId="0" quotePrefix="1"/>
    <xf numFmtId="0" fontId="3" fillId="0" borderId="0" xfId="0" applyFont="1"/>
    <xf numFmtId="0" fontId="4" fillId="0" borderId="0" xfId="0" applyFont="1"/>
    <xf numFmtId="0" fontId="1"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ebi.ac.uk/interpro/entry/interpro/IPR04430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94F28-919C-1A4F-A0F2-EFDF07F1FBCD}">
  <dimension ref="A1:F97"/>
  <sheetViews>
    <sheetView zoomScale="115" zoomScaleNormal="150" workbookViewId="0">
      <pane ySplit="1" topLeftCell="A2" activePane="bottomLeft" state="frozen"/>
      <selection pane="bottomLeft" activeCell="A2" sqref="A2"/>
    </sheetView>
  </sheetViews>
  <sheetFormatPr baseColWidth="10" defaultRowHeight="16" x14ac:dyDescent="0.2"/>
  <cols>
    <col min="1" max="1" width="60" style="1" customWidth="1"/>
    <col min="3" max="3" width="32.6640625" customWidth="1"/>
    <col min="4" max="4" width="36" customWidth="1"/>
    <col min="5" max="5" width="19" customWidth="1"/>
  </cols>
  <sheetData>
    <row r="1" spans="1:6" x14ac:dyDescent="0.2">
      <c r="A1" s="3" t="s">
        <v>314</v>
      </c>
      <c r="B1" s="4" t="s">
        <v>315</v>
      </c>
      <c r="C1" s="4" t="s">
        <v>317</v>
      </c>
      <c r="D1" s="4" t="s">
        <v>316</v>
      </c>
      <c r="E1" s="4" t="s">
        <v>320</v>
      </c>
      <c r="F1" s="4" t="s">
        <v>322</v>
      </c>
    </row>
    <row r="2" spans="1:6" x14ac:dyDescent="0.2">
      <c r="A2" s="1" t="s">
        <v>290</v>
      </c>
      <c r="B2">
        <v>81</v>
      </c>
      <c r="C2" t="s">
        <v>319</v>
      </c>
      <c r="D2" t="s">
        <v>313</v>
      </c>
      <c r="E2" t="s">
        <v>323</v>
      </c>
      <c r="F2" t="s">
        <v>318</v>
      </c>
    </row>
    <row r="3" spans="1:6" x14ac:dyDescent="0.2">
      <c r="A3" s="1" t="s">
        <v>0</v>
      </c>
    </row>
    <row r="5" spans="1:6" x14ac:dyDescent="0.2">
      <c r="A5" s="1" t="s">
        <v>291</v>
      </c>
      <c r="B5">
        <v>90</v>
      </c>
      <c r="C5" t="s">
        <v>319</v>
      </c>
      <c r="D5" t="s">
        <v>313</v>
      </c>
      <c r="E5" t="s">
        <v>321</v>
      </c>
    </row>
    <row r="6" spans="1:6" x14ac:dyDescent="0.2">
      <c r="A6" s="1" t="s">
        <v>1</v>
      </c>
    </row>
    <row r="8" spans="1:6" x14ac:dyDescent="0.2">
      <c r="A8" s="1" t="s">
        <v>2</v>
      </c>
      <c r="B8">
        <v>121</v>
      </c>
      <c r="C8" t="s">
        <v>326</v>
      </c>
      <c r="D8" t="s">
        <v>324</v>
      </c>
      <c r="E8" t="s">
        <v>325</v>
      </c>
      <c r="F8" t="s">
        <v>327</v>
      </c>
    </row>
    <row r="9" spans="1:6" x14ac:dyDescent="0.2">
      <c r="A9" s="1" t="s">
        <v>3</v>
      </c>
    </row>
    <row r="11" spans="1:6" x14ac:dyDescent="0.2">
      <c r="A11" s="1" t="s">
        <v>292</v>
      </c>
      <c r="B11">
        <v>147</v>
      </c>
      <c r="C11" t="s">
        <v>328</v>
      </c>
      <c r="D11" t="s">
        <v>324</v>
      </c>
      <c r="E11" t="s">
        <v>329</v>
      </c>
      <c r="F11" t="s">
        <v>327</v>
      </c>
    </row>
    <row r="12" spans="1:6" x14ac:dyDescent="0.2">
      <c r="A12" s="1" t="s">
        <v>4</v>
      </c>
    </row>
    <row r="14" spans="1:6" x14ac:dyDescent="0.2">
      <c r="A14" s="1" t="s">
        <v>293</v>
      </c>
      <c r="B14">
        <v>147</v>
      </c>
      <c r="C14" t="s">
        <v>328</v>
      </c>
      <c r="D14" t="s">
        <v>324</v>
      </c>
      <c r="E14" t="s">
        <v>329</v>
      </c>
      <c r="F14" t="s">
        <v>327</v>
      </c>
    </row>
    <row r="15" spans="1:6" x14ac:dyDescent="0.2">
      <c r="A15" s="1" t="s">
        <v>5</v>
      </c>
    </row>
    <row r="17" spans="1:6" x14ac:dyDescent="0.2">
      <c r="A17" s="1" t="s">
        <v>294</v>
      </c>
      <c r="B17">
        <v>149</v>
      </c>
      <c r="C17" t="s">
        <v>330</v>
      </c>
      <c r="F17" t="s">
        <v>327</v>
      </c>
    </row>
    <row r="18" spans="1:6" x14ac:dyDescent="0.2">
      <c r="A18" s="1" t="s">
        <v>6</v>
      </c>
    </row>
    <row r="20" spans="1:6" x14ac:dyDescent="0.2">
      <c r="A20" s="1" t="s">
        <v>295</v>
      </c>
      <c r="B20">
        <v>160</v>
      </c>
      <c r="C20" t="s">
        <v>336</v>
      </c>
      <c r="D20" t="s">
        <v>331</v>
      </c>
      <c r="E20" t="s">
        <v>332</v>
      </c>
      <c r="F20" t="s">
        <v>327</v>
      </c>
    </row>
    <row r="21" spans="1:6" x14ac:dyDescent="0.2">
      <c r="A21" s="1" t="s">
        <v>7</v>
      </c>
    </row>
    <row r="23" spans="1:6" x14ac:dyDescent="0.2">
      <c r="A23" s="1" t="s">
        <v>296</v>
      </c>
      <c r="B23">
        <v>170</v>
      </c>
      <c r="C23" t="s">
        <v>328</v>
      </c>
      <c r="D23" t="s">
        <v>324</v>
      </c>
      <c r="E23" t="s">
        <v>333</v>
      </c>
      <c r="F23" t="s">
        <v>327</v>
      </c>
    </row>
    <row r="24" spans="1:6" x14ac:dyDescent="0.2">
      <c r="A24" s="1" t="s">
        <v>8</v>
      </c>
    </row>
    <row r="26" spans="1:6" x14ac:dyDescent="0.2">
      <c r="A26" s="1" t="s">
        <v>9</v>
      </c>
      <c r="B26">
        <v>175</v>
      </c>
      <c r="C26" t="s">
        <v>328</v>
      </c>
      <c r="D26" t="s">
        <v>324</v>
      </c>
      <c r="E26" t="s">
        <v>334</v>
      </c>
      <c r="F26" t="s">
        <v>327</v>
      </c>
    </row>
    <row r="27" spans="1:6" x14ac:dyDescent="0.2">
      <c r="A27" s="1" t="s">
        <v>10</v>
      </c>
    </row>
    <row r="29" spans="1:6" x14ac:dyDescent="0.2">
      <c r="B29">
        <v>187</v>
      </c>
      <c r="C29" t="s">
        <v>338</v>
      </c>
      <c r="E29" t="s">
        <v>335</v>
      </c>
    </row>
    <row r="31" spans="1:6" x14ac:dyDescent="0.2">
      <c r="A31" s="1" t="s">
        <v>11</v>
      </c>
      <c r="B31">
        <v>192</v>
      </c>
      <c r="C31" t="s">
        <v>330</v>
      </c>
      <c r="E31" t="s">
        <v>337</v>
      </c>
      <c r="F31" t="s">
        <v>327</v>
      </c>
    </row>
    <row r="32" spans="1:6" x14ac:dyDescent="0.2">
      <c r="A32" s="1" t="s">
        <v>12</v>
      </c>
    </row>
    <row r="34" spans="1:6" x14ac:dyDescent="0.2">
      <c r="A34" s="1" t="s">
        <v>13</v>
      </c>
      <c r="B34">
        <v>198</v>
      </c>
      <c r="C34" t="s">
        <v>339</v>
      </c>
      <c r="D34" t="s">
        <v>331</v>
      </c>
      <c r="E34" t="s">
        <v>340</v>
      </c>
      <c r="F34" t="s">
        <v>331</v>
      </c>
    </row>
    <row r="35" spans="1:6" x14ac:dyDescent="0.2">
      <c r="A35" s="1" t="s">
        <v>14</v>
      </c>
    </row>
    <row r="37" spans="1:6" x14ac:dyDescent="0.2">
      <c r="A37" s="1" t="s">
        <v>297</v>
      </c>
      <c r="B37">
        <v>198</v>
      </c>
      <c r="C37" t="s">
        <v>339</v>
      </c>
      <c r="D37" t="s">
        <v>331</v>
      </c>
      <c r="E37" t="s">
        <v>340</v>
      </c>
      <c r="F37" t="s">
        <v>331</v>
      </c>
    </row>
    <row r="38" spans="1:6" x14ac:dyDescent="0.2">
      <c r="A38" s="1" t="s">
        <v>15</v>
      </c>
    </row>
    <row r="40" spans="1:6" x14ac:dyDescent="0.2">
      <c r="A40" s="1" t="s">
        <v>16</v>
      </c>
      <c r="B40">
        <v>204</v>
      </c>
      <c r="C40" t="s">
        <v>341</v>
      </c>
      <c r="D40" t="s">
        <v>331</v>
      </c>
      <c r="E40" t="s">
        <v>342</v>
      </c>
      <c r="F40" t="s">
        <v>327</v>
      </c>
    </row>
    <row r="41" spans="1:6" x14ac:dyDescent="0.2">
      <c r="A41" s="1" t="s">
        <v>17</v>
      </c>
    </row>
    <row r="43" spans="1:6" x14ac:dyDescent="0.2">
      <c r="A43" s="1" t="s">
        <v>18</v>
      </c>
      <c r="B43">
        <v>219</v>
      </c>
      <c r="C43" t="s">
        <v>343</v>
      </c>
      <c r="D43" t="s">
        <v>344</v>
      </c>
      <c r="E43" t="s">
        <v>345</v>
      </c>
    </row>
    <row r="44" spans="1:6" x14ac:dyDescent="0.2">
      <c r="A44" s="1" t="s">
        <v>19</v>
      </c>
    </row>
    <row r="46" spans="1:6" x14ac:dyDescent="0.2">
      <c r="A46" s="1" t="s">
        <v>20</v>
      </c>
      <c r="B46">
        <v>221</v>
      </c>
      <c r="C46" t="s">
        <v>346</v>
      </c>
      <c r="D46" t="s">
        <v>331</v>
      </c>
      <c r="E46" t="s">
        <v>347</v>
      </c>
      <c r="F46" t="s">
        <v>331</v>
      </c>
    </row>
    <row r="47" spans="1:6" x14ac:dyDescent="0.2">
      <c r="A47" s="1" t="s">
        <v>21</v>
      </c>
    </row>
    <row r="49" spans="1:6" x14ac:dyDescent="0.2">
      <c r="A49" s="1" t="s">
        <v>22</v>
      </c>
      <c r="B49">
        <v>221</v>
      </c>
    </row>
    <row r="50" spans="1:6" x14ac:dyDescent="0.2">
      <c r="A50" s="1" t="s">
        <v>23</v>
      </c>
    </row>
    <row r="52" spans="1:6" x14ac:dyDescent="0.2">
      <c r="A52" s="1" t="s">
        <v>24</v>
      </c>
      <c r="B52">
        <v>222</v>
      </c>
      <c r="C52" t="s">
        <v>348</v>
      </c>
      <c r="D52" t="s">
        <v>331</v>
      </c>
      <c r="E52" t="s">
        <v>349</v>
      </c>
      <c r="F52" t="s">
        <v>331</v>
      </c>
    </row>
    <row r="53" spans="1:6" x14ac:dyDescent="0.2">
      <c r="A53" s="1" t="s">
        <v>25</v>
      </c>
    </row>
    <row r="55" spans="1:6" x14ac:dyDescent="0.2">
      <c r="A55" s="1" t="s">
        <v>26</v>
      </c>
      <c r="B55">
        <v>224</v>
      </c>
    </row>
    <row r="56" spans="1:6" x14ac:dyDescent="0.2">
      <c r="A56" s="1" t="s">
        <v>27</v>
      </c>
    </row>
    <row r="58" spans="1:6" x14ac:dyDescent="0.2">
      <c r="B58">
        <v>226</v>
      </c>
    </row>
    <row r="59" spans="1:6" x14ac:dyDescent="0.2">
      <c r="A59" s="1" t="s">
        <v>298</v>
      </c>
      <c r="B59">
        <v>232</v>
      </c>
    </row>
    <row r="60" spans="1:6" x14ac:dyDescent="0.2">
      <c r="A60" s="1" t="s">
        <v>28</v>
      </c>
    </row>
    <row r="62" spans="1:6" x14ac:dyDescent="0.2">
      <c r="A62" s="1" t="s">
        <v>299</v>
      </c>
      <c r="B62">
        <v>232</v>
      </c>
    </row>
    <row r="63" spans="1:6" x14ac:dyDescent="0.2">
      <c r="A63" s="1" t="s">
        <v>29</v>
      </c>
    </row>
    <row r="65" spans="1:3" x14ac:dyDescent="0.2">
      <c r="B65">
        <v>232</v>
      </c>
      <c r="C65" t="s">
        <v>30</v>
      </c>
    </row>
    <row r="67" spans="1:3" x14ac:dyDescent="0.2">
      <c r="A67" s="1" t="s">
        <v>31</v>
      </c>
      <c r="B67">
        <v>234</v>
      </c>
    </row>
    <row r="68" spans="1:3" x14ac:dyDescent="0.2">
      <c r="A68" s="1" t="s">
        <v>32</v>
      </c>
    </row>
    <row r="70" spans="1:3" x14ac:dyDescent="0.2">
      <c r="A70" s="1" t="s">
        <v>300</v>
      </c>
      <c r="B70">
        <v>235</v>
      </c>
    </row>
    <row r="71" spans="1:3" x14ac:dyDescent="0.2">
      <c r="A71" s="1" t="s">
        <v>33</v>
      </c>
    </row>
    <row r="73" spans="1:3" x14ac:dyDescent="0.2">
      <c r="A73" s="1" t="s">
        <v>301</v>
      </c>
      <c r="B73">
        <v>239</v>
      </c>
      <c r="C73" t="s">
        <v>35</v>
      </c>
    </row>
    <row r="74" spans="1:3" x14ac:dyDescent="0.2">
      <c r="A74" s="1" t="s">
        <v>34</v>
      </c>
    </row>
    <row r="76" spans="1:3" x14ac:dyDescent="0.2">
      <c r="A76" s="1" t="s">
        <v>302</v>
      </c>
      <c r="B76">
        <v>239</v>
      </c>
      <c r="C76" t="s">
        <v>37</v>
      </c>
    </row>
    <row r="77" spans="1:3" x14ac:dyDescent="0.2">
      <c r="A77" s="1" t="s">
        <v>36</v>
      </c>
    </row>
    <row r="79" spans="1:3" x14ac:dyDescent="0.2">
      <c r="A79" s="1" t="s">
        <v>303</v>
      </c>
      <c r="B79">
        <v>242</v>
      </c>
    </row>
    <row r="80" spans="1:3" x14ac:dyDescent="0.2">
      <c r="A80" s="1" t="s">
        <v>38</v>
      </c>
    </row>
    <row r="82" spans="1:3" x14ac:dyDescent="0.2">
      <c r="B82">
        <v>245</v>
      </c>
      <c r="C82" t="s">
        <v>39</v>
      </c>
    </row>
    <row r="83" spans="1:3" x14ac:dyDescent="0.2">
      <c r="B83">
        <v>246</v>
      </c>
      <c r="C83" t="s">
        <v>39</v>
      </c>
    </row>
    <row r="85" spans="1:3" x14ac:dyDescent="0.2">
      <c r="A85" s="1" t="s">
        <v>304</v>
      </c>
      <c r="B85">
        <v>247</v>
      </c>
    </row>
    <row r="86" spans="1:3" x14ac:dyDescent="0.2">
      <c r="A86" s="1" t="s">
        <v>305</v>
      </c>
    </row>
    <row r="88" spans="1:3" x14ac:dyDescent="0.2">
      <c r="A88" s="1" t="s">
        <v>306</v>
      </c>
      <c r="B88">
        <v>247</v>
      </c>
    </row>
    <row r="89" spans="1:3" x14ac:dyDescent="0.2">
      <c r="A89" s="1" t="s">
        <v>307</v>
      </c>
    </row>
    <row r="91" spans="1:3" x14ac:dyDescent="0.2">
      <c r="B91">
        <v>248</v>
      </c>
      <c r="C91" t="s">
        <v>308</v>
      </c>
    </row>
    <row r="93" spans="1:3" x14ac:dyDescent="0.2">
      <c r="A93" s="1" t="s">
        <v>309</v>
      </c>
      <c r="B93">
        <v>250</v>
      </c>
    </row>
    <row r="94" spans="1:3" x14ac:dyDescent="0.2">
      <c r="A94" s="1" t="s">
        <v>310</v>
      </c>
    </row>
    <row r="96" spans="1:3" x14ac:dyDescent="0.2">
      <c r="A96" s="1" t="s">
        <v>311</v>
      </c>
      <c r="B96">
        <v>253</v>
      </c>
    </row>
    <row r="97" spans="1:1" x14ac:dyDescent="0.2">
      <c r="A97" s="1" t="s">
        <v>312</v>
      </c>
    </row>
  </sheetData>
  <hyperlinks>
    <hyperlink ref="E46" r:id="rId1" display="https://www.ebi.ac.uk/interpro/entry/interpro/IPR044304" xr:uid="{E9CF3589-247C-4348-B79D-740515EB476B}"/>
  </hyperlink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A1439-C0D4-3C40-BDD7-2E310D3A5B94}">
  <dimension ref="A1:G11"/>
  <sheetViews>
    <sheetView topLeftCell="C1" zoomScale="156" workbookViewId="0">
      <selection activeCell="E5" sqref="E5"/>
    </sheetView>
  </sheetViews>
  <sheetFormatPr baseColWidth="10" defaultRowHeight="16" x14ac:dyDescent="0.2"/>
  <cols>
    <col min="1" max="1" width="33.6640625" customWidth="1"/>
    <col min="3" max="3" width="68.1640625" customWidth="1"/>
    <col min="4" max="4" width="84.1640625" customWidth="1"/>
    <col min="5" max="5" width="17.1640625" customWidth="1"/>
  </cols>
  <sheetData>
    <row r="1" spans="1:7" x14ac:dyDescent="0.2">
      <c r="A1" s="3" t="s">
        <v>314</v>
      </c>
      <c r="B1" s="4" t="s">
        <v>315</v>
      </c>
      <c r="C1" s="4" t="s">
        <v>317</v>
      </c>
      <c r="D1" s="4" t="s">
        <v>316</v>
      </c>
      <c r="E1" s="4" t="s">
        <v>320</v>
      </c>
      <c r="F1" s="4" t="s">
        <v>322</v>
      </c>
      <c r="G1" s="4" t="s">
        <v>353</v>
      </c>
    </row>
    <row r="2" spans="1:7" x14ac:dyDescent="0.2">
      <c r="A2" s="5" t="s">
        <v>350</v>
      </c>
      <c r="B2">
        <v>699</v>
      </c>
      <c r="C2" t="s">
        <v>352</v>
      </c>
      <c r="D2" t="s">
        <v>351</v>
      </c>
      <c r="E2" t="s">
        <v>378</v>
      </c>
      <c r="G2">
        <v>1</v>
      </c>
    </row>
    <row r="3" spans="1:7" x14ac:dyDescent="0.2">
      <c r="B3">
        <v>2</v>
      </c>
      <c r="C3" t="s">
        <v>354</v>
      </c>
      <c r="D3" t="s">
        <v>356</v>
      </c>
      <c r="E3" t="s">
        <v>355</v>
      </c>
      <c r="G3">
        <v>2</v>
      </c>
    </row>
    <row r="4" spans="1:7" x14ac:dyDescent="0.2">
      <c r="B4">
        <v>626</v>
      </c>
      <c r="C4" t="s">
        <v>354</v>
      </c>
      <c r="D4" t="s">
        <v>357</v>
      </c>
      <c r="E4" t="s">
        <v>355</v>
      </c>
      <c r="G4">
        <v>2</v>
      </c>
    </row>
    <row r="5" spans="1:7" x14ac:dyDescent="0.2">
      <c r="A5" s="5" t="s">
        <v>358</v>
      </c>
      <c r="B5">
        <v>754</v>
      </c>
      <c r="C5" t="s">
        <v>354</v>
      </c>
      <c r="D5" t="s">
        <v>359</v>
      </c>
      <c r="E5" t="s">
        <v>360</v>
      </c>
      <c r="G5">
        <v>3</v>
      </c>
    </row>
    <row r="6" spans="1:7" x14ac:dyDescent="0.2">
      <c r="A6" s="5" t="s">
        <v>361</v>
      </c>
      <c r="B6">
        <v>628</v>
      </c>
      <c r="C6" t="s">
        <v>354</v>
      </c>
      <c r="D6" t="s">
        <v>362</v>
      </c>
      <c r="E6" t="s">
        <v>360</v>
      </c>
      <c r="G6">
        <v>3</v>
      </c>
    </row>
    <row r="7" spans="1:7" x14ac:dyDescent="0.2">
      <c r="A7" s="5" t="s">
        <v>363</v>
      </c>
      <c r="B7">
        <v>628</v>
      </c>
      <c r="C7" t="s">
        <v>364</v>
      </c>
      <c r="D7" t="s">
        <v>365</v>
      </c>
      <c r="E7" t="s">
        <v>360</v>
      </c>
      <c r="G7">
        <v>3</v>
      </c>
    </row>
    <row r="8" spans="1:7" x14ac:dyDescent="0.2">
      <c r="A8" s="5" t="s">
        <v>366</v>
      </c>
      <c r="B8">
        <v>778</v>
      </c>
      <c r="C8" t="s">
        <v>367</v>
      </c>
      <c r="D8" t="s">
        <v>369</v>
      </c>
      <c r="E8" t="s">
        <v>368</v>
      </c>
      <c r="G8">
        <v>4</v>
      </c>
    </row>
    <row r="9" spans="1:7" x14ac:dyDescent="0.2">
      <c r="A9" s="5" t="s">
        <v>370</v>
      </c>
      <c r="B9">
        <v>649</v>
      </c>
      <c r="C9" t="s">
        <v>371</v>
      </c>
      <c r="D9" t="s">
        <v>372</v>
      </c>
      <c r="E9" t="s">
        <v>373</v>
      </c>
      <c r="G9">
        <v>5</v>
      </c>
    </row>
    <row r="10" spans="1:7" x14ac:dyDescent="0.2">
      <c r="A10" t="s">
        <v>374</v>
      </c>
      <c r="B10">
        <v>711</v>
      </c>
      <c r="C10" t="s">
        <v>367</v>
      </c>
      <c r="D10" t="s">
        <v>376</v>
      </c>
      <c r="E10" t="s">
        <v>377</v>
      </c>
      <c r="G10">
        <v>6</v>
      </c>
    </row>
    <row r="11" spans="1:7" x14ac:dyDescent="0.2">
      <c r="A11" t="s">
        <v>375</v>
      </c>
    </row>
  </sheetData>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1DCF6-32B2-4440-B772-8848A8F75A1E}">
  <dimension ref="A1:BB55"/>
  <sheetViews>
    <sheetView topLeftCell="B1" zoomScale="110" workbookViewId="0">
      <pane ySplit="1" topLeftCell="A16" activePane="bottomLeft" state="frozen"/>
      <selection activeCell="B1" sqref="B1"/>
      <selection pane="bottomLeft" activeCell="B4" sqref="B4"/>
    </sheetView>
  </sheetViews>
  <sheetFormatPr baseColWidth="10" defaultRowHeight="16" x14ac:dyDescent="0.2"/>
  <cols>
    <col min="2" max="2" width="59.83203125" customWidth="1"/>
    <col min="4" max="5" width="43.1640625" customWidth="1"/>
    <col min="7" max="8" width="43.1640625" customWidth="1"/>
  </cols>
  <sheetData>
    <row r="1" spans="1:54" x14ac:dyDescent="0.2">
      <c r="B1" s="3" t="s">
        <v>314</v>
      </c>
      <c r="C1" s="4" t="s">
        <v>315</v>
      </c>
      <c r="D1" s="4" t="s">
        <v>317</v>
      </c>
      <c r="E1" s="4" t="s">
        <v>316</v>
      </c>
      <c r="F1" s="4" t="s">
        <v>320</v>
      </c>
      <c r="G1" s="4" t="s">
        <v>322</v>
      </c>
      <c r="H1" s="4" t="s">
        <v>353</v>
      </c>
      <c r="J1" t="s">
        <v>379</v>
      </c>
      <c r="K1" t="s">
        <v>380</v>
      </c>
      <c r="L1" t="s">
        <v>381</v>
      </c>
      <c r="M1" t="s">
        <v>382</v>
      </c>
      <c r="N1" t="s">
        <v>383</v>
      </c>
      <c r="O1" t="s">
        <v>384</v>
      </c>
      <c r="P1" t="s">
        <v>385</v>
      </c>
      <c r="Q1" t="s">
        <v>386</v>
      </c>
      <c r="R1" t="s">
        <v>387</v>
      </c>
      <c r="S1" t="s">
        <v>388</v>
      </c>
      <c r="T1" t="s">
        <v>389</v>
      </c>
      <c r="U1" t="s">
        <v>390</v>
      </c>
      <c r="V1" t="s">
        <v>391</v>
      </c>
      <c r="W1" t="s">
        <v>392</v>
      </c>
      <c r="X1" t="s">
        <v>393</v>
      </c>
      <c r="Y1" t="s">
        <v>394</v>
      </c>
      <c r="Z1" t="s">
        <v>395</v>
      </c>
      <c r="AA1" t="s">
        <v>396</v>
      </c>
      <c r="AB1" t="s">
        <v>397</v>
      </c>
      <c r="AC1" t="s">
        <v>398</v>
      </c>
      <c r="AD1" t="s">
        <v>399</v>
      </c>
      <c r="AE1" t="s">
        <v>400</v>
      </c>
      <c r="AF1" t="s">
        <v>401</v>
      </c>
      <c r="AG1" t="s">
        <v>402</v>
      </c>
      <c r="AH1" t="s">
        <v>403</v>
      </c>
      <c r="AI1" t="s">
        <v>404</v>
      </c>
      <c r="AJ1" t="s">
        <v>405</v>
      </c>
      <c r="AK1" t="s">
        <v>406</v>
      </c>
      <c r="AL1" t="s">
        <v>407</v>
      </c>
      <c r="AM1" t="s">
        <v>408</v>
      </c>
      <c r="AN1" t="s">
        <v>409</v>
      </c>
      <c r="AO1" t="s">
        <v>410</v>
      </c>
      <c r="AP1" t="s">
        <v>411</v>
      </c>
      <c r="AQ1" t="s">
        <v>412</v>
      </c>
      <c r="AR1" t="s">
        <v>413</v>
      </c>
      <c r="AS1" t="s">
        <v>414</v>
      </c>
      <c r="AT1" t="s">
        <v>415</v>
      </c>
      <c r="AU1" t="s">
        <v>416</v>
      </c>
      <c r="AV1" t="s">
        <v>417</v>
      </c>
      <c r="AW1" t="s">
        <v>418</v>
      </c>
      <c r="AX1" t="s">
        <v>419</v>
      </c>
      <c r="AY1" t="s">
        <v>420</v>
      </c>
      <c r="AZ1" t="s">
        <v>421</v>
      </c>
      <c r="BA1" t="s">
        <v>422</v>
      </c>
      <c r="BB1" t="s">
        <v>423</v>
      </c>
    </row>
    <row r="2" spans="1:54" x14ac:dyDescent="0.2">
      <c r="A2">
        <v>20</v>
      </c>
      <c r="B2" t="s">
        <v>424</v>
      </c>
      <c r="C2">
        <v>390</v>
      </c>
      <c r="F2" t="s">
        <v>430</v>
      </c>
      <c r="I2" t="s">
        <v>425</v>
      </c>
      <c r="J2">
        <v>0</v>
      </c>
      <c r="K2">
        <v>991</v>
      </c>
      <c r="L2" t="s">
        <v>426</v>
      </c>
      <c r="M2" t="s">
        <v>427</v>
      </c>
      <c r="N2" t="s">
        <v>428</v>
      </c>
      <c r="O2" t="s">
        <v>429</v>
      </c>
      <c r="P2" t="s">
        <v>430</v>
      </c>
      <c r="Q2" t="s">
        <v>431</v>
      </c>
      <c r="R2" t="s">
        <v>432</v>
      </c>
      <c r="S2" t="s">
        <v>433</v>
      </c>
      <c r="T2" t="s">
        <v>434</v>
      </c>
      <c r="U2" t="s">
        <v>435</v>
      </c>
      <c r="V2" t="s">
        <v>436</v>
      </c>
      <c r="W2" t="s">
        <v>437</v>
      </c>
      <c r="X2" t="s">
        <v>438</v>
      </c>
      <c r="Y2" t="s">
        <v>431</v>
      </c>
      <c r="Z2" t="s">
        <v>431</v>
      </c>
      <c r="AA2" t="s">
        <v>431</v>
      </c>
      <c r="AB2" t="s">
        <v>439</v>
      </c>
      <c r="AC2" t="s">
        <v>440</v>
      </c>
      <c r="AD2" t="s">
        <v>441</v>
      </c>
      <c r="AE2" t="s">
        <v>442</v>
      </c>
      <c r="AF2">
        <v>1707</v>
      </c>
      <c r="AG2">
        <v>26.24</v>
      </c>
      <c r="AH2" t="s">
        <v>443</v>
      </c>
      <c r="AI2" t="s">
        <v>71</v>
      </c>
      <c r="AJ2" t="s">
        <v>444</v>
      </c>
      <c r="AK2">
        <v>302</v>
      </c>
      <c r="AL2" t="s">
        <v>428</v>
      </c>
      <c r="AM2" t="s">
        <v>441</v>
      </c>
      <c r="AN2">
        <v>390</v>
      </c>
      <c r="AO2">
        <v>268</v>
      </c>
      <c r="AP2">
        <v>333</v>
      </c>
      <c r="AQ2">
        <v>314.44078947368399</v>
      </c>
      <c r="AR2">
        <v>155</v>
      </c>
      <c r="AS2">
        <v>151</v>
      </c>
      <c r="AT2">
        <v>0.98804642513051499</v>
      </c>
      <c r="AU2">
        <v>1727.65161290323</v>
      </c>
      <c r="AV2">
        <v>2.3199121686719999</v>
      </c>
      <c r="AW2">
        <v>0.72757724451614303</v>
      </c>
      <c r="AX2" t="s">
        <v>441</v>
      </c>
      <c r="AY2" t="s">
        <v>441</v>
      </c>
      <c r="AZ2" t="s">
        <v>445</v>
      </c>
      <c r="BA2" t="b">
        <v>0</v>
      </c>
      <c r="BB2" t="s">
        <v>446</v>
      </c>
    </row>
    <row r="3" spans="1:54" x14ac:dyDescent="0.2">
      <c r="A3">
        <v>21</v>
      </c>
      <c r="B3" t="s">
        <v>447</v>
      </c>
      <c r="C3">
        <v>747</v>
      </c>
      <c r="F3" t="s">
        <v>430</v>
      </c>
      <c r="I3" t="s">
        <v>425</v>
      </c>
      <c r="J3" s="6" t="s">
        <v>448</v>
      </c>
      <c r="K3">
        <v>822</v>
      </c>
      <c r="L3" t="s">
        <v>426</v>
      </c>
      <c r="M3" t="s">
        <v>427</v>
      </c>
      <c r="N3" t="s">
        <v>428</v>
      </c>
      <c r="O3" t="s">
        <v>429</v>
      </c>
      <c r="P3" t="s">
        <v>430</v>
      </c>
      <c r="Q3" t="s">
        <v>431</v>
      </c>
      <c r="R3" t="s">
        <v>432</v>
      </c>
      <c r="S3" t="s">
        <v>433</v>
      </c>
      <c r="T3" t="s">
        <v>434</v>
      </c>
      <c r="U3" t="s">
        <v>435</v>
      </c>
      <c r="V3" t="s">
        <v>436</v>
      </c>
      <c r="W3" t="s">
        <v>437</v>
      </c>
      <c r="X3" t="s">
        <v>438</v>
      </c>
      <c r="Y3" t="s">
        <v>431</v>
      </c>
      <c r="Z3" t="s">
        <v>431</v>
      </c>
      <c r="AA3" t="s">
        <v>431</v>
      </c>
      <c r="AB3" t="s">
        <v>439</v>
      </c>
      <c r="AC3" t="s">
        <v>440</v>
      </c>
      <c r="AD3" t="s">
        <v>441</v>
      </c>
      <c r="AE3" t="s">
        <v>442</v>
      </c>
      <c r="AF3">
        <v>1422</v>
      </c>
      <c r="AG3">
        <v>25.39</v>
      </c>
      <c r="AH3" t="s">
        <v>443</v>
      </c>
      <c r="AI3" t="s">
        <v>71</v>
      </c>
      <c r="AJ3" t="s">
        <v>444</v>
      </c>
      <c r="AK3">
        <v>304</v>
      </c>
      <c r="AL3" t="s">
        <v>428</v>
      </c>
      <c r="AM3" t="s">
        <v>441</v>
      </c>
      <c r="AN3">
        <v>747</v>
      </c>
      <c r="AO3">
        <v>304</v>
      </c>
      <c r="AP3">
        <v>304</v>
      </c>
      <c r="AQ3">
        <v>304</v>
      </c>
      <c r="AR3">
        <v>155</v>
      </c>
      <c r="AS3">
        <v>151</v>
      </c>
      <c r="AT3">
        <v>0.82308261074141298</v>
      </c>
      <c r="AU3">
        <v>1727.65161290323</v>
      </c>
      <c r="AV3">
        <v>2.3199121686719999</v>
      </c>
      <c r="AW3">
        <v>0.72757724451614303</v>
      </c>
      <c r="AX3" t="s">
        <v>441</v>
      </c>
      <c r="AY3" t="s">
        <v>441</v>
      </c>
      <c r="AZ3" t="s">
        <v>445</v>
      </c>
      <c r="BA3" t="b">
        <v>0</v>
      </c>
      <c r="BB3" t="s">
        <v>446</v>
      </c>
    </row>
    <row r="4" spans="1:54" x14ac:dyDescent="0.2">
      <c r="A4">
        <v>22</v>
      </c>
      <c r="B4" t="s">
        <v>449</v>
      </c>
      <c r="C4">
        <v>390</v>
      </c>
      <c r="F4" t="s">
        <v>430</v>
      </c>
      <c r="I4" t="s">
        <v>450</v>
      </c>
      <c r="J4">
        <v>0</v>
      </c>
      <c r="K4">
        <v>1088</v>
      </c>
      <c r="L4" t="s">
        <v>426</v>
      </c>
      <c r="M4" t="s">
        <v>427</v>
      </c>
      <c r="N4" t="s">
        <v>428</v>
      </c>
      <c r="O4" t="s">
        <v>429</v>
      </c>
      <c r="P4" t="s">
        <v>430</v>
      </c>
      <c r="Q4" t="s">
        <v>431</v>
      </c>
      <c r="R4" t="s">
        <v>432</v>
      </c>
      <c r="S4" t="s">
        <v>433</v>
      </c>
      <c r="T4" t="s">
        <v>434</v>
      </c>
      <c r="U4" t="s">
        <v>435</v>
      </c>
      <c r="V4" t="s">
        <v>436</v>
      </c>
      <c r="W4" t="s">
        <v>437</v>
      </c>
      <c r="X4" t="s">
        <v>438</v>
      </c>
      <c r="Y4" t="s">
        <v>431</v>
      </c>
      <c r="Z4" t="s">
        <v>431</v>
      </c>
      <c r="AA4" t="s">
        <v>431</v>
      </c>
      <c r="AB4" t="s">
        <v>439</v>
      </c>
      <c r="AC4" t="s">
        <v>440</v>
      </c>
      <c r="AD4" t="s">
        <v>441</v>
      </c>
      <c r="AE4" t="s">
        <v>442</v>
      </c>
      <c r="AF4">
        <v>1734</v>
      </c>
      <c r="AG4">
        <v>27.34</v>
      </c>
      <c r="AH4" t="s">
        <v>443</v>
      </c>
      <c r="AI4" t="s">
        <v>74</v>
      </c>
      <c r="AJ4" t="s">
        <v>444</v>
      </c>
      <c r="AK4">
        <v>331</v>
      </c>
      <c r="AL4" t="s">
        <v>428</v>
      </c>
      <c r="AM4" t="s">
        <v>441</v>
      </c>
      <c r="AN4">
        <v>390</v>
      </c>
      <c r="AO4">
        <v>268</v>
      </c>
      <c r="AP4">
        <v>333</v>
      </c>
      <c r="AQ4">
        <v>314.44078947368399</v>
      </c>
      <c r="AR4">
        <v>155</v>
      </c>
      <c r="AS4">
        <v>151</v>
      </c>
      <c r="AT4">
        <v>1.00367457596738</v>
      </c>
      <c r="AU4">
        <v>1727.65161290323</v>
      </c>
      <c r="AV4">
        <v>2.3199121686719999</v>
      </c>
      <c r="AW4">
        <v>0.72757724451614303</v>
      </c>
      <c r="AX4" t="s">
        <v>441</v>
      </c>
      <c r="AY4" t="s">
        <v>441</v>
      </c>
      <c r="AZ4" t="s">
        <v>445</v>
      </c>
      <c r="BA4" t="b">
        <v>0</v>
      </c>
      <c r="BB4" t="s">
        <v>446</v>
      </c>
    </row>
    <row r="5" spans="1:54" x14ac:dyDescent="0.2">
      <c r="A5">
        <v>23</v>
      </c>
      <c r="B5" t="s">
        <v>451</v>
      </c>
      <c r="C5">
        <v>390</v>
      </c>
      <c r="F5" t="s">
        <v>430</v>
      </c>
      <c r="I5" t="s">
        <v>450</v>
      </c>
      <c r="J5">
        <v>0</v>
      </c>
      <c r="K5">
        <v>1088</v>
      </c>
      <c r="L5" t="s">
        <v>426</v>
      </c>
      <c r="M5" t="s">
        <v>427</v>
      </c>
      <c r="N5" t="s">
        <v>428</v>
      </c>
      <c r="O5" t="s">
        <v>429</v>
      </c>
      <c r="P5" t="s">
        <v>430</v>
      </c>
      <c r="Q5" t="s">
        <v>431</v>
      </c>
      <c r="R5" t="s">
        <v>432</v>
      </c>
      <c r="S5" t="s">
        <v>433</v>
      </c>
      <c r="T5" t="s">
        <v>434</v>
      </c>
      <c r="U5" t="s">
        <v>435</v>
      </c>
      <c r="V5" t="s">
        <v>436</v>
      </c>
      <c r="W5" t="s">
        <v>437</v>
      </c>
      <c r="X5" t="s">
        <v>438</v>
      </c>
      <c r="Y5" t="s">
        <v>431</v>
      </c>
      <c r="Z5" t="s">
        <v>431</v>
      </c>
      <c r="AA5" t="s">
        <v>431</v>
      </c>
      <c r="AB5" t="s">
        <v>439</v>
      </c>
      <c r="AC5" t="s">
        <v>440</v>
      </c>
      <c r="AD5" t="s">
        <v>441</v>
      </c>
      <c r="AE5" t="s">
        <v>442</v>
      </c>
      <c r="AF5">
        <v>1743</v>
      </c>
      <c r="AG5">
        <v>27.54</v>
      </c>
      <c r="AH5" t="s">
        <v>443</v>
      </c>
      <c r="AI5" t="s">
        <v>74</v>
      </c>
      <c r="AJ5" t="s">
        <v>444</v>
      </c>
      <c r="AK5">
        <v>333</v>
      </c>
      <c r="AL5" t="s">
        <v>428</v>
      </c>
      <c r="AM5" t="s">
        <v>441</v>
      </c>
      <c r="AN5">
        <v>390</v>
      </c>
      <c r="AO5">
        <v>268</v>
      </c>
      <c r="AP5">
        <v>333</v>
      </c>
      <c r="AQ5">
        <v>314.44078947368399</v>
      </c>
      <c r="AR5">
        <v>155</v>
      </c>
      <c r="AS5">
        <v>151</v>
      </c>
      <c r="AT5">
        <v>1.0088839595796599</v>
      </c>
      <c r="AU5">
        <v>1727.65161290323</v>
      </c>
      <c r="AV5">
        <v>2.3199121686719999</v>
      </c>
      <c r="AW5">
        <v>0.72757724451614303</v>
      </c>
      <c r="AX5" t="s">
        <v>441</v>
      </c>
      <c r="AY5" t="s">
        <v>441</v>
      </c>
      <c r="AZ5" t="s">
        <v>445</v>
      </c>
      <c r="BA5" t="b">
        <v>0</v>
      </c>
      <c r="BB5" t="s">
        <v>446</v>
      </c>
    </row>
    <row r="6" spans="1:54" x14ac:dyDescent="0.2">
      <c r="A6">
        <v>1</v>
      </c>
      <c r="B6" t="s">
        <v>452</v>
      </c>
      <c r="C6">
        <v>581</v>
      </c>
      <c r="D6" t="s">
        <v>755</v>
      </c>
      <c r="F6" t="s">
        <v>460</v>
      </c>
      <c r="I6" t="s">
        <v>453</v>
      </c>
      <c r="J6" s="6" t="s">
        <v>454</v>
      </c>
      <c r="K6">
        <v>57.8</v>
      </c>
      <c r="L6" t="s">
        <v>455</v>
      </c>
      <c r="M6" t="s">
        <v>427</v>
      </c>
      <c r="N6" t="s">
        <v>456</v>
      </c>
      <c r="O6" t="s">
        <v>457</v>
      </c>
      <c r="P6" t="s">
        <v>431</v>
      </c>
      <c r="Q6" t="s">
        <v>431</v>
      </c>
      <c r="R6" t="s">
        <v>431</v>
      </c>
      <c r="S6" t="s">
        <v>458</v>
      </c>
      <c r="T6" t="s">
        <v>431</v>
      </c>
      <c r="U6" t="s">
        <v>431</v>
      </c>
      <c r="V6" t="s">
        <v>431</v>
      </c>
      <c r="W6" t="s">
        <v>431</v>
      </c>
      <c r="X6" t="s">
        <v>459</v>
      </c>
      <c r="Y6" t="s">
        <v>431</v>
      </c>
      <c r="Z6" t="s">
        <v>431</v>
      </c>
      <c r="AA6" t="s">
        <v>431</v>
      </c>
      <c r="AB6" t="s">
        <v>460</v>
      </c>
      <c r="AC6" t="s">
        <v>461</v>
      </c>
      <c r="AD6" t="s">
        <v>462</v>
      </c>
      <c r="AE6" t="s">
        <v>463</v>
      </c>
      <c r="AF6">
        <v>126</v>
      </c>
      <c r="AG6">
        <v>19.84</v>
      </c>
      <c r="AH6" t="s">
        <v>443</v>
      </c>
      <c r="AI6" t="s">
        <v>208</v>
      </c>
      <c r="AJ6" t="s">
        <v>444</v>
      </c>
      <c r="AK6">
        <v>402</v>
      </c>
      <c r="AL6" t="s">
        <v>456</v>
      </c>
      <c r="AM6" t="s">
        <v>462</v>
      </c>
      <c r="AN6">
        <v>581</v>
      </c>
      <c r="AO6">
        <v>368</v>
      </c>
      <c r="AP6">
        <v>446</v>
      </c>
      <c r="AQ6">
        <v>413.19696969696997</v>
      </c>
      <c r="AR6">
        <v>75</v>
      </c>
      <c r="AS6">
        <v>74</v>
      </c>
      <c r="AT6">
        <v>1.0423560555923199</v>
      </c>
      <c r="AU6">
        <v>120.88</v>
      </c>
      <c r="AV6">
        <v>1.3153540701522199</v>
      </c>
      <c r="AW6">
        <v>0.81899404367968198</v>
      </c>
      <c r="AX6" t="s">
        <v>462</v>
      </c>
      <c r="AY6" t="s">
        <v>462</v>
      </c>
      <c r="AZ6" t="s">
        <v>464</v>
      </c>
      <c r="BA6" t="b">
        <v>0</v>
      </c>
      <c r="BB6" t="s">
        <v>465</v>
      </c>
    </row>
    <row r="7" spans="1:54" x14ac:dyDescent="0.2">
      <c r="A7">
        <v>2</v>
      </c>
      <c r="B7" t="s">
        <v>466</v>
      </c>
      <c r="C7">
        <v>581</v>
      </c>
      <c r="D7" t="s">
        <v>755</v>
      </c>
      <c r="F7" t="s">
        <v>460</v>
      </c>
      <c r="I7" t="s">
        <v>453</v>
      </c>
      <c r="J7" s="6" t="s">
        <v>467</v>
      </c>
      <c r="K7">
        <v>56.6</v>
      </c>
      <c r="L7" t="s">
        <v>455</v>
      </c>
      <c r="M7" t="s">
        <v>427</v>
      </c>
      <c r="N7" t="s">
        <v>456</v>
      </c>
      <c r="O7" t="s">
        <v>457</v>
      </c>
      <c r="P7" t="s">
        <v>431</v>
      </c>
      <c r="Q7" t="s">
        <v>431</v>
      </c>
      <c r="R7" t="s">
        <v>431</v>
      </c>
      <c r="S7" t="s">
        <v>458</v>
      </c>
      <c r="T7" t="s">
        <v>431</v>
      </c>
      <c r="U7" t="s">
        <v>431</v>
      </c>
      <c r="V7" t="s">
        <v>431</v>
      </c>
      <c r="W7" t="s">
        <v>431</v>
      </c>
      <c r="X7" t="s">
        <v>459</v>
      </c>
      <c r="Y7" t="s">
        <v>431</v>
      </c>
      <c r="Z7" t="s">
        <v>431</v>
      </c>
      <c r="AA7" t="s">
        <v>431</v>
      </c>
      <c r="AB7" t="s">
        <v>460</v>
      </c>
      <c r="AC7" t="s">
        <v>461</v>
      </c>
      <c r="AD7" t="s">
        <v>462</v>
      </c>
      <c r="AE7" t="s">
        <v>463</v>
      </c>
      <c r="AF7">
        <v>126</v>
      </c>
      <c r="AG7">
        <v>18.25</v>
      </c>
      <c r="AH7" t="s">
        <v>443</v>
      </c>
      <c r="AI7" t="s">
        <v>208</v>
      </c>
      <c r="AJ7" t="s">
        <v>444</v>
      </c>
      <c r="AK7">
        <v>403</v>
      </c>
      <c r="AL7" t="s">
        <v>456</v>
      </c>
      <c r="AM7" t="s">
        <v>462</v>
      </c>
      <c r="AN7">
        <v>581</v>
      </c>
      <c r="AO7">
        <v>368</v>
      </c>
      <c r="AP7">
        <v>446</v>
      </c>
      <c r="AQ7">
        <v>413.19696969696997</v>
      </c>
      <c r="AR7">
        <v>75</v>
      </c>
      <c r="AS7">
        <v>74</v>
      </c>
      <c r="AT7">
        <v>1.0423560555923199</v>
      </c>
      <c r="AU7">
        <v>120.88</v>
      </c>
      <c r="AV7">
        <v>1.3153540701522199</v>
      </c>
      <c r="AW7">
        <v>0.81899404367968198</v>
      </c>
      <c r="AX7" t="s">
        <v>462</v>
      </c>
      <c r="AY7" t="s">
        <v>462</v>
      </c>
      <c r="AZ7" t="s">
        <v>464</v>
      </c>
      <c r="BA7" t="b">
        <v>0</v>
      </c>
      <c r="BB7" t="s">
        <v>465</v>
      </c>
    </row>
    <row r="8" spans="1:54" x14ac:dyDescent="0.2">
      <c r="A8">
        <v>24</v>
      </c>
      <c r="B8" t="s">
        <v>468</v>
      </c>
      <c r="C8">
        <v>2</v>
      </c>
      <c r="F8" t="s">
        <v>355</v>
      </c>
      <c r="I8" t="s">
        <v>469</v>
      </c>
      <c r="J8" s="6" t="s">
        <v>470</v>
      </c>
      <c r="K8">
        <v>636</v>
      </c>
      <c r="L8" t="s">
        <v>471</v>
      </c>
      <c r="M8" t="s">
        <v>427</v>
      </c>
      <c r="N8" t="s">
        <v>472</v>
      </c>
      <c r="O8" t="s">
        <v>473</v>
      </c>
      <c r="P8" t="s">
        <v>355</v>
      </c>
      <c r="Q8" t="s">
        <v>431</v>
      </c>
      <c r="R8" t="s">
        <v>474</v>
      </c>
      <c r="S8" t="s">
        <v>475</v>
      </c>
      <c r="T8" t="s">
        <v>431</v>
      </c>
      <c r="U8" t="s">
        <v>431</v>
      </c>
      <c r="V8" t="s">
        <v>431</v>
      </c>
      <c r="W8" t="s">
        <v>431</v>
      </c>
      <c r="X8" t="s">
        <v>476</v>
      </c>
      <c r="Y8" t="s">
        <v>431</v>
      </c>
      <c r="Z8" t="s">
        <v>431</v>
      </c>
      <c r="AA8" t="s">
        <v>431</v>
      </c>
      <c r="AB8" t="s">
        <v>477</v>
      </c>
      <c r="AC8" t="s">
        <v>478</v>
      </c>
      <c r="AD8" t="s">
        <v>479</v>
      </c>
      <c r="AE8" t="s">
        <v>480</v>
      </c>
      <c r="AF8">
        <v>1044</v>
      </c>
      <c r="AG8">
        <v>27.97</v>
      </c>
      <c r="AH8" t="s">
        <v>443</v>
      </c>
      <c r="AI8" t="s">
        <v>86</v>
      </c>
      <c r="AJ8" t="s">
        <v>444</v>
      </c>
      <c r="AK8">
        <v>332</v>
      </c>
      <c r="AL8" t="s">
        <v>472</v>
      </c>
      <c r="AM8" t="s">
        <v>479</v>
      </c>
      <c r="AN8">
        <v>2</v>
      </c>
      <c r="AO8">
        <v>274</v>
      </c>
      <c r="AP8">
        <v>339</v>
      </c>
      <c r="AQ8">
        <v>320.38961038961003</v>
      </c>
      <c r="AR8">
        <v>156</v>
      </c>
      <c r="AS8">
        <v>152</v>
      </c>
      <c r="AT8">
        <v>0.98840236686390504</v>
      </c>
      <c r="AU8">
        <v>1056.25</v>
      </c>
      <c r="AV8">
        <v>1.10485207100592</v>
      </c>
      <c r="AW8">
        <v>0.94011834319526599</v>
      </c>
      <c r="AX8" t="s">
        <v>479</v>
      </c>
      <c r="AY8" t="s">
        <v>479</v>
      </c>
      <c r="AZ8" t="s">
        <v>481</v>
      </c>
      <c r="BA8" t="b">
        <v>1</v>
      </c>
      <c r="BB8" t="s">
        <v>482</v>
      </c>
    </row>
    <row r="9" spans="1:54" x14ac:dyDescent="0.2">
      <c r="A9">
        <v>25</v>
      </c>
      <c r="B9" t="s">
        <v>483</v>
      </c>
      <c r="C9">
        <v>2</v>
      </c>
      <c r="F9" t="s">
        <v>355</v>
      </c>
      <c r="I9" t="s">
        <v>469</v>
      </c>
      <c r="J9" s="6" t="s">
        <v>470</v>
      </c>
      <c r="K9">
        <v>636</v>
      </c>
      <c r="L9" t="s">
        <v>471</v>
      </c>
      <c r="M9" t="s">
        <v>427</v>
      </c>
      <c r="N9" t="s">
        <v>472</v>
      </c>
      <c r="O9" t="s">
        <v>473</v>
      </c>
      <c r="P9" t="s">
        <v>355</v>
      </c>
      <c r="Q9" t="s">
        <v>431</v>
      </c>
      <c r="R9" t="s">
        <v>474</v>
      </c>
      <c r="S9" t="s">
        <v>475</v>
      </c>
      <c r="T9" t="s">
        <v>431</v>
      </c>
      <c r="U9" t="s">
        <v>431</v>
      </c>
      <c r="V9" t="s">
        <v>431</v>
      </c>
      <c r="W9" t="s">
        <v>431</v>
      </c>
      <c r="X9" t="s">
        <v>476</v>
      </c>
      <c r="Y9" t="s">
        <v>431</v>
      </c>
      <c r="Z9" t="s">
        <v>431</v>
      </c>
      <c r="AA9" t="s">
        <v>431</v>
      </c>
      <c r="AB9" t="s">
        <v>477</v>
      </c>
      <c r="AC9" t="s">
        <v>478</v>
      </c>
      <c r="AD9" t="s">
        <v>479</v>
      </c>
      <c r="AE9" t="s">
        <v>480</v>
      </c>
      <c r="AF9">
        <v>1044</v>
      </c>
      <c r="AG9">
        <v>27.97</v>
      </c>
      <c r="AH9" t="s">
        <v>443</v>
      </c>
      <c r="AI9" t="s">
        <v>86</v>
      </c>
      <c r="AJ9" t="s">
        <v>444</v>
      </c>
      <c r="AK9">
        <v>334</v>
      </c>
      <c r="AL9" t="s">
        <v>472</v>
      </c>
      <c r="AM9" t="s">
        <v>479</v>
      </c>
      <c r="AN9">
        <v>2</v>
      </c>
      <c r="AO9">
        <v>274</v>
      </c>
      <c r="AP9">
        <v>339</v>
      </c>
      <c r="AQ9">
        <v>320.38961038961003</v>
      </c>
      <c r="AR9">
        <v>156</v>
      </c>
      <c r="AS9">
        <v>152</v>
      </c>
      <c r="AT9">
        <v>0.98840236686390504</v>
      </c>
      <c r="AU9">
        <v>1056.25</v>
      </c>
      <c r="AV9">
        <v>1.10485207100592</v>
      </c>
      <c r="AW9">
        <v>0.94011834319526599</v>
      </c>
      <c r="AX9" t="s">
        <v>479</v>
      </c>
      <c r="AY9" t="s">
        <v>479</v>
      </c>
      <c r="AZ9" t="s">
        <v>481</v>
      </c>
      <c r="BA9" t="b">
        <v>1</v>
      </c>
      <c r="BB9" t="s">
        <v>482</v>
      </c>
    </row>
    <row r="10" spans="1:54" x14ac:dyDescent="0.2">
      <c r="A10">
        <v>3</v>
      </c>
      <c r="B10" t="s">
        <v>484</v>
      </c>
      <c r="C10">
        <v>828</v>
      </c>
      <c r="F10" t="s">
        <v>431</v>
      </c>
      <c r="I10" t="s">
        <v>485</v>
      </c>
      <c r="J10" s="6" t="s">
        <v>486</v>
      </c>
      <c r="K10">
        <v>68.599999999999994</v>
      </c>
      <c r="L10" t="s">
        <v>487</v>
      </c>
      <c r="M10" t="s">
        <v>427</v>
      </c>
      <c r="N10" t="s">
        <v>456</v>
      </c>
      <c r="O10" t="s">
        <v>488</v>
      </c>
      <c r="P10" t="s">
        <v>431</v>
      </c>
      <c r="Q10" t="s">
        <v>431</v>
      </c>
      <c r="R10" t="s">
        <v>431</v>
      </c>
      <c r="S10" t="s">
        <v>431</v>
      </c>
      <c r="T10" t="s">
        <v>431</v>
      </c>
      <c r="U10" t="s">
        <v>431</v>
      </c>
      <c r="V10" t="s">
        <v>431</v>
      </c>
      <c r="W10" t="s">
        <v>431</v>
      </c>
      <c r="X10" t="s">
        <v>431</v>
      </c>
      <c r="Y10" t="s">
        <v>431</v>
      </c>
      <c r="Z10" t="s">
        <v>431</v>
      </c>
      <c r="AA10" t="s">
        <v>431</v>
      </c>
      <c r="AB10" t="s">
        <v>431</v>
      </c>
      <c r="AC10" t="s">
        <v>489</v>
      </c>
      <c r="AD10" t="s">
        <v>490</v>
      </c>
      <c r="AE10" t="s">
        <v>491</v>
      </c>
      <c r="AF10">
        <v>162</v>
      </c>
      <c r="AG10">
        <v>9.8800000000000008</v>
      </c>
      <c r="AH10" t="s">
        <v>443</v>
      </c>
      <c r="AI10" t="s">
        <v>227</v>
      </c>
      <c r="AJ10" t="s">
        <v>444</v>
      </c>
      <c r="AK10">
        <v>478</v>
      </c>
      <c r="AL10" t="s">
        <v>456</v>
      </c>
      <c r="AM10" t="s">
        <v>490</v>
      </c>
      <c r="AN10">
        <v>828</v>
      </c>
      <c r="AO10">
        <v>478</v>
      </c>
      <c r="AP10">
        <v>478</v>
      </c>
      <c r="AQ10">
        <v>478</v>
      </c>
      <c r="AR10">
        <v>129</v>
      </c>
      <c r="AS10">
        <v>128</v>
      </c>
      <c r="AT10">
        <v>0.10444717665757</v>
      </c>
      <c r="AU10">
        <v>1551.0232558139501</v>
      </c>
      <c r="AV10">
        <v>1.06961645725253</v>
      </c>
      <c r="AW10">
        <v>0.10444717665757</v>
      </c>
      <c r="AX10" t="s">
        <v>490</v>
      </c>
      <c r="AY10" t="s">
        <v>490</v>
      </c>
      <c r="AZ10" t="s">
        <v>492</v>
      </c>
      <c r="BA10" t="b">
        <v>0</v>
      </c>
      <c r="BB10" t="s">
        <v>493</v>
      </c>
    </row>
    <row r="11" spans="1:54" x14ac:dyDescent="0.2">
      <c r="A11">
        <v>4</v>
      </c>
      <c r="B11" t="s">
        <v>494</v>
      </c>
      <c r="C11">
        <v>829</v>
      </c>
      <c r="F11" t="s">
        <v>431</v>
      </c>
      <c r="I11" t="s">
        <v>495</v>
      </c>
      <c r="J11" s="6" t="s">
        <v>496</v>
      </c>
      <c r="K11">
        <v>132</v>
      </c>
      <c r="L11" t="s">
        <v>487</v>
      </c>
      <c r="M11" t="s">
        <v>427</v>
      </c>
      <c r="N11" t="s">
        <v>456</v>
      </c>
      <c r="O11" t="s">
        <v>488</v>
      </c>
      <c r="P11" t="s">
        <v>431</v>
      </c>
      <c r="Q11" t="s">
        <v>431</v>
      </c>
      <c r="R11" t="s">
        <v>431</v>
      </c>
      <c r="S11" t="s">
        <v>431</v>
      </c>
      <c r="T11" t="s">
        <v>431</v>
      </c>
      <c r="U11" t="s">
        <v>431</v>
      </c>
      <c r="V11" t="s">
        <v>431</v>
      </c>
      <c r="W11" t="s">
        <v>431</v>
      </c>
      <c r="X11" t="s">
        <v>431</v>
      </c>
      <c r="Y11" t="s">
        <v>431</v>
      </c>
      <c r="Z11" t="s">
        <v>431</v>
      </c>
      <c r="AA11" t="s">
        <v>431</v>
      </c>
      <c r="AB11" t="s">
        <v>431</v>
      </c>
      <c r="AC11" t="s">
        <v>489</v>
      </c>
      <c r="AD11" t="s">
        <v>490</v>
      </c>
      <c r="AE11" t="s">
        <v>491</v>
      </c>
      <c r="AF11">
        <v>315</v>
      </c>
      <c r="AG11">
        <v>16.510000000000002</v>
      </c>
      <c r="AH11" t="s">
        <v>443</v>
      </c>
      <c r="AI11" t="s">
        <v>227</v>
      </c>
      <c r="AJ11" t="s">
        <v>444</v>
      </c>
      <c r="AK11">
        <v>479</v>
      </c>
      <c r="AL11" t="s">
        <v>456</v>
      </c>
      <c r="AM11" t="s">
        <v>490</v>
      </c>
      <c r="AN11">
        <v>829</v>
      </c>
      <c r="AO11">
        <v>479</v>
      </c>
      <c r="AP11">
        <v>479</v>
      </c>
      <c r="AQ11">
        <v>479</v>
      </c>
      <c r="AR11">
        <v>129</v>
      </c>
      <c r="AS11">
        <v>128</v>
      </c>
      <c r="AT11">
        <v>0.20309173238972</v>
      </c>
      <c r="AU11">
        <v>1551.0232558139501</v>
      </c>
      <c r="AV11">
        <v>1.06961645725253</v>
      </c>
      <c r="AW11">
        <v>0.10444717665757</v>
      </c>
      <c r="AX11" t="s">
        <v>490</v>
      </c>
      <c r="AY11" t="s">
        <v>490</v>
      </c>
      <c r="AZ11" t="s">
        <v>492</v>
      </c>
      <c r="BA11" t="b">
        <v>0</v>
      </c>
      <c r="BB11" t="s">
        <v>493</v>
      </c>
    </row>
    <row r="12" spans="1:54" x14ac:dyDescent="0.2">
      <c r="A12">
        <v>26</v>
      </c>
      <c r="B12" t="s">
        <v>497</v>
      </c>
      <c r="C12">
        <v>663</v>
      </c>
      <c r="F12" t="s">
        <v>431</v>
      </c>
      <c r="I12" t="s">
        <v>498</v>
      </c>
      <c r="J12" s="6" t="s">
        <v>499</v>
      </c>
      <c r="K12">
        <v>64.7</v>
      </c>
      <c r="L12" t="s">
        <v>500</v>
      </c>
      <c r="M12" t="s">
        <v>427</v>
      </c>
      <c r="N12" t="s">
        <v>456</v>
      </c>
      <c r="O12" t="s">
        <v>501</v>
      </c>
      <c r="P12" t="s">
        <v>431</v>
      </c>
      <c r="Q12" t="s">
        <v>431</v>
      </c>
      <c r="R12" t="s">
        <v>431</v>
      </c>
      <c r="S12" t="s">
        <v>431</v>
      </c>
      <c r="T12" t="s">
        <v>431</v>
      </c>
      <c r="U12" t="s">
        <v>431</v>
      </c>
      <c r="V12" t="s">
        <v>431</v>
      </c>
      <c r="W12" t="s">
        <v>431</v>
      </c>
      <c r="X12" t="s">
        <v>431</v>
      </c>
      <c r="Y12" t="s">
        <v>431</v>
      </c>
      <c r="Z12" t="s">
        <v>431</v>
      </c>
      <c r="AA12" t="s">
        <v>431</v>
      </c>
      <c r="AB12" t="s">
        <v>502</v>
      </c>
      <c r="AC12" t="s">
        <v>503</v>
      </c>
      <c r="AD12" t="s">
        <v>504</v>
      </c>
      <c r="AE12" t="s">
        <v>505</v>
      </c>
      <c r="AF12">
        <v>207</v>
      </c>
      <c r="AG12">
        <v>12.08</v>
      </c>
      <c r="AH12" t="s">
        <v>443</v>
      </c>
      <c r="AI12" t="s">
        <v>82</v>
      </c>
      <c r="AJ12" t="s">
        <v>506</v>
      </c>
      <c r="AK12" t="s">
        <v>431</v>
      </c>
      <c r="AL12" t="s">
        <v>456</v>
      </c>
      <c r="AM12" t="s">
        <v>504</v>
      </c>
      <c r="AN12">
        <v>663</v>
      </c>
      <c r="AO12" t="s">
        <v>431</v>
      </c>
      <c r="AP12" t="s">
        <v>431</v>
      </c>
      <c r="AQ12" t="s">
        <v>431</v>
      </c>
      <c r="AR12">
        <v>114</v>
      </c>
      <c r="AS12">
        <v>113</v>
      </c>
      <c r="AT12">
        <v>0.44513609869277299</v>
      </c>
      <c r="AU12">
        <v>465.02631578947398</v>
      </c>
      <c r="AV12">
        <v>1.18702959651406</v>
      </c>
      <c r="AW12">
        <v>0.44513609869277299</v>
      </c>
      <c r="AX12" t="s">
        <v>504</v>
      </c>
      <c r="AY12" t="s">
        <v>504</v>
      </c>
      <c r="AZ12" t="s">
        <v>507</v>
      </c>
      <c r="BA12" t="b">
        <v>0</v>
      </c>
      <c r="BB12" t="s">
        <v>508</v>
      </c>
    </row>
    <row r="13" spans="1:54" x14ac:dyDescent="0.2">
      <c r="A13">
        <v>27</v>
      </c>
      <c r="B13" t="s">
        <v>509</v>
      </c>
      <c r="C13">
        <v>530</v>
      </c>
      <c r="F13" t="s">
        <v>431</v>
      </c>
      <c r="I13" t="s">
        <v>510</v>
      </c>
      <c r="J13" s="6" t="s">
        <v>511</v>
      </c>
      <c r="K13">
        <v>199</v>
      </c>
      <c r="L13" t="s">
        <v>500</v>
      </c>
      <c r="M13" t="s">
        <v>427</v>
      </c>
      <c r="N13" t="s">
        <v>456</v>
      </c>
      <c r="O13" t="s">
        <v>501</v>
      </c>
      <c r="P13" t="s">
        <v>431</v>
      </c>
      <c r="Q13" t="s">
        <v>431</v>
      </c>
      <c r="R13" t="s">
        <v>431</v>
      </c>
      <c r="S13" t="s">
        <v>431</v>
      </c>
      <c r="T13" t="s">
        <v>431</v>
      </c>
      <c r="U13" t="s">
        <v>431</v>
      </c>
      <c r="V13" t="s">
        <v>431</v>
      </c>
      <c r="W13" t="s">
        <v>431</v>
      </c>
      <c r="X13" t="s">
        <v>431</v>
      </c>
      <c r="Y13" t="s">
        <v>431</v>
      </c>
      <c r="Z13" t="s">
        <v>431</v>
      </c>
      <c r="AA13" t="s">
        <v>431</v>
      </c>
      <c r="AB13" t="s">
        <v>502</v>
      </c>
      <c r="AC13" t="s">
        <v>503</v>
      </c>
      <c r="AD13" t="s">
        <v>504</v>
      </c>
      <c r="AE13" t="s">
        <v>505</v>
      </c>
      <c r="AF13">
        <v>312</v>
      </c>
      <c r="AG13">
        <v>12.82</v>
      </c>
      <c r="AH13" t="s">
        <v>443</v>
      </c>
      <c r="AI13" t="s">
        <v>82</v>
      </c>
      <c r="AJ13" t="s">
        <v>506</v>
      </c>
      <c r="AK13" t="s">
        <v>431</v>
      </c>
      <c r="AL13" t="s">
        <v>456</v>
      </c>
      <c r="AM13" t="s">
        <v>504</v>
      </c>
      <c r="AN13">
        <v>530</v>
      </c>
      <c r="AO13" t="s">
        <v>431</v>
      </c>
      <c r="AP13" t="s">
        <v>431</v>
      </c>
      <c r="AQ13" t="s">
        <v>431</v>
      </c>
      <c r="AR13">
        <v>114</v>
      </c>
      <c r="AS13">
        <v>113</v>
      </c>
      <c r="AT13">
        <v>0.67092977194273096</v>
      </c>
      <c r="AU13">
        <v>465.02631578947398</v>
      </c>
      <c r="AV13">
        <v>1.18702959651406</v>
      </c>
      <c r="AW13">
        <v>0.44513609869277299</v>
      </c>
      <c r="AX13" t="s">
        <v>504</v>
      </c>
      <c r="AY13" t="s">
        <v>504</v>
      </c>
      <c r="AZ13" t="s">
        <v>507</v>
      </c>
      <c r="BA13" t="b">
        <v>0</v>
      </c>
      <c r="BB13" t="s">
        <v>508</v>
      </c>
    </row>
    <row r="14" spans="1:54" x14ac:dyDescent="0.2">
      <c r="A14">
        <v>5</v>
      </c>
      <c r="B14" t="s">
        <v>512</v>
      </c>
      <c r="C14">
        <v>635</v>
      </c>
      <c r="D14" t="s">
        <v>753</v>
      </c>
      <c r="E14" t="s">
        <v>752</v>
      </c>
      <c r="F14" t="s">
        <v>431</v>
      </c>
      <c r="I14" t="s">
        <v>513</v>
      </c>
      <c r="J14" s="6" t="s">
        <v>514</v>
      </c>
      <c r="K14">
        <v>50.1</v>
      </c>
      <c r="L14" t="s">
        <v>515</v>
      </c>
      <c r="M14" t="s">
        <v>427</v>
      </c>
      <c r="N14" t="s">
        <v>456</v>
      </c>
      <c r="O14" t="s">
        <v>516</v>
      </c>
      <c r="P14" t="s">
        <v>431</v>
      </c>
      <c r="Q14" t="s">
        <v>431</v>
      </c>
      <c r="R14" t="s">
        <v>431</v>
      </c>
      <c r="S14" t="s">
        <v>431</v>
      </c>
      <c r="T14" t="s">
        <v>431</v>
      </c>
      <c r="U14" t="s">
        <v>431</v>
      </c>
      <c r="V14" t="s">
        <v>431</v>
      </c>
      <c r="W14" t="s">
        <v>431</v>
      </c>
      <c r="X14" t="s">
        <v>431</v>
      </c>
      <c r="Y14" t="s">
        <v>431</v>
      </c>
      <c r="Z14" t="s">
        <v>431</v>
      </c>
      <c r="AA14" t="s">
        <v>431</v>
      </c>
      <c r="AB14" t="s">
        <v>517</v>
      </c>
      <c r="AC14" t="s">
        <v>518</v>
      </c>
      <c r="AD14" t="s">
        <v>519</v>
      </c>
      <c r="AE14" t="s">
        <v>520</v>
      </c>
      <c r="AF14">
        <v>132</v>
      </c>
      <c r="AG14">
        <v>18.940000000000001</v>
      </c>
      <c r="AH14" t="s">
        <v>443</v>
      </c>
      <c r="AI14" t="s">
        <v>229</v>
      </c>
      <c r="AJ14" t="s">
        <v>444</v>
      </c>
      <c r="AK14">
        <v>532</v>
      </c>
      <c r="AL14" t="s">
        <v>456</v>
      </c>
      <c r="AM14" t="s">
        <v>519</v>
      </c>
      <c r="AN14">
        <v>635</v>
      </c>
      <c r="AO14">
        <v>532</v>
      </c>
      <c r="AP14">
        <v>539</v>
      </c>
      <c r="AQ14">
        <v>535.5</v>
      </c>
      <c r="AR14">
        <v>65</v>
      </c>
      <c r="AS14">
        <v>64</v>
      </c>
      <c r="AT14">
        <v>0.307097605497691</v>
      </c>
      <c r="AU14">
        <v>429.83076923076902</v>
      </c>
      <c r="AV14">
        <v>1.52152904542038</v>
      </c>
      <c r="AW14">
        <v>0.307097605497691</v>
      </c>
      <c r="AX14" t="s">
        <v>519</v>
      </c>
      <c r="AY14" t="s">
        <v>519</v>
      </c>
      <c r="AZ14" t="s">
        <v>521</v>
      </c>
      <c r="BA14" t="b">
        <v>0</v>
      </c>
      <c r="BB14" t="s">
        <v>522</v>
      </c>
    </row>
    <row r="15" spans="1:54" x14ac:dyDescent="0.2">
      <c r="A15">
        <v>6</v>
      </c>
      <c r="B15" t="s">
        <v>523</v>
      </c>
      <c r="C15">
        <v>582</v>
      </c>
      <c r="D15" t="s">
        <v>753</v>
      </c>
      <c r="E15" t="s">
        <v>752</v>
      </c>
      <c r="F15" t="s">
        <v>431</v>
      </c>
      <c r="I15" t="s">
        <v>524</v>
      </c>
      <c r="J15" s="6" t="s">
        <v>525</v>
      </c>
      <c r="K15">
        <v>120</v>
      </c>
      <c r="L15" t="s">
        <v>515</v>
      </c>
      <c r="M15" t="s">
        <v>427</v>
      </c>
      <c r="N15" t="s">
        <v>456</v>
      </c>
      <c r="O15" t="s">
        <v>516</v>
      </c>
      <c r="P15" t="s">
        <v>431</v>
      </c>
      <c r="Q15" t="s">
        <v>431</v>
      </c>
      <c r="R15" t="s">
        <v>431</v>
      </c>
      <c r="S15" t="s">
        <v>431</v>
      </c>
      <c r="T15" t="s">
        <v>431</v>
      </c>
      <c r="U15" t="s">
        <v>431</v>
      </c>
      <c r="V15" t="s">
        <v>431</v>
      </c>
      <c r="W15" t="s">
        <v>431</v>
      </c>
      <c r="X15" t="s">
        <v>431</v>
      </c>
      <c r="Y15" t="s">
        <v>431</v>
      </c>
      <c r="Z15" t="s">
        <v>431</v>
      </c>
      <c r="AA15" t="s">
        <v>431</v>
      </c>
      <c r="AB15" t="s">
        <v>517</v>
      </c>
      <c r="AC15" t="s">
        <v>518</v>
      </c>
      <c r="AD15" t="s">
        <v>519</v>
      </c>
      <c r="AE15" t="s">
        <v>520</v>
      </c>
      <c r="AF15">
        <v>237</v>
      </c>
      <c r="AG15">
        <v>18.989999999999998</v>
      </c>
      <c r="AH15" t="s">
        <v>443</v>
      </c>
      <c r="AI15" t="s">
        <v>229</v>
      </c>
      <c r="AJ15" t="s">
        <v>444</v>
      </c>
      <c r="AK15">
        <v>533</v>
      </c>
      <c r="AL15" t="s">
        <v>456</v>
      </c>
      <c r="AM15" t="s">
        <v>519</v>
      </c>
      <c r="AN15">
        <v>582</v>
      </c>
      <c r="AO15">
        <v>488</v>
      </c>
      <c r="AP15">
        <v>550</v>
      </c>
      <c r="AQ15">
        <v>533.49206349206304</v>
      </c>
      <c r="AR15">
        <v>65</v>
      </c>
      <c r="AS15">
        <v>64</v>
      </c>
      <c r="AT15">
        <v>0.55137979168903695</v>
      </c>
      <c r="AU15">
        <v>429.83076923076902</v>
      </c>
      <c r="AV15">
        <v>1.52152904542038</v>
      </c>
      <c r="AW15">
        <v>0.307097605497691</v>
      </c>
      <c r="AX15" t="s">
        <v>519</v>
      </c>
      <c r="AY15" t="s">
        <v>519</v>
      </c>
      <c r="AZ15" t="s">
        <v>521</v>
      </c>
      <c r="BA15" t="b">
        <v>0</v>
      </c>
      <c r="BB15" t="s">
        <v>522</v>
      </c>
    </row>
    <row r="16" spans="1:54" x14ac:dyDescent="0.2">
      <c r="A16">
        <v>7</v>
      </c>
      <c r="B16" t="s">
        <v>526</v>
      </c>
      <c r="C16">
        <v>613</v>
      </c>
      <c r="F16" t="s">
        <v>431</v>
      </c>
      <c r="I16" t="s">
        <v>527</v>
      </c>
      <c r="J16" s="6" t="s">
        <v>528</v>
      </c>
      <c r="K16">
        <v>160</v>
      </c>
      <c r="L16" t="s">
        <v>529</v>
      </c>
      <c r="M16" t="s">
        <v>427</v>
      </c>
      <c r="N16" t="s">
        <v>530</v>
      </c>
      <c r="O16" t="s">
        <v>531</v>
      </c>
      <c r="P16" t="s">
        <v>431</v>
      </c>
      <c r="Q16" t="s">
        <v>431</v>
      </c>
      <c r="R16" t="s">
        <v>431</v>
      </c>
      <c r="S16" t="s">
        <v>431</v>
      </c>
      <c r="T16" t="s">
        <v>431</v>
      </c>
      <c r="U16" t="s">
        <v>431</v>
      </c>
      <c r="V16" t="s">
        <v>431</v>
      </c>
      <c r="W16" t="s">
        <v>431</v>
      </c>
      <c r="X16" t="s">
        <v>431</v>
      </c>
      <c r="Y16" t="s">
        <v>431</v>
      </c>
      <c r="Z16" t="s">
        <v>431</v>
      </c>
      <c r="AA16" t="s">
        <v>431</v>
      </c>
      <c r="AB16" t="s">
        <v>431</v>
      </c>
      <c r="AC16" t="s">
        <v>532</v>
      </c>
      <c r="AD16" t="s">
        <v>533</v>
      </c>
      <c r="AE16" t="s">
        <v>534</v>
      </c>
      <c r="AF16">
        <v>339</v>
      </c>
      <c r="AG16">
        <v>22.12</v>
      </c>
      <c r="AH16" t="s">
        <v>443</v>
      </c>
      <c r="AI16" t="s">
        <v>245</v>
      </c>
      <c r="AJ16" t="s">
        <v>444</v>
      </c>
      <c r="AK16">
        <v>46</v>
      </c>
      <c r="AL16" t="s">
        <v>530</v>
      </c>
      <c r="AM16" t="s">
        <v>533</v>
      </c>
      <c r="AN16">
        <v>613</v>
      </c>
      <c r="AO16">
        <v>46</v>
      </c>
      <c r="AP16">
        <v>46</v>
      </c>
      <c r="AQ16">
        <v>46</v>
      </c>
      <c r="AR16">
        <v>35</v>
      </c>
      <c r="AS16">
        <v>32</v>
      </c>
      <c r="AT16">
        <v>0.34156662924259401</v>
      </c>
      <c r="AU16">
        <v>992.48571428571404</v>
      </c>
      <c r="AV16">
        <v>1.1849037049831601</v>
      </c>
      <c r="AW16">
        <v>0.27204421798082701</v>
      </c>
      <c r="AX16" t="s">
        <v>533</v>
      </c>
      <c r="AY16" t="s">
        <v>533</v>
      </c>
      <c r="AZ16" t="s">
        <v>535</v>
      </c>
      <c r="BA16" t="b">
        <v>0</v>
      </c>
      <c r="BB16" t="s">
        <v>536</v>
      </c>
    </row>
    <row r="17" spans="1:54" x14ac:dyDescent="0.2">
      <c r="A17">
        <v>8</v>
      </c>
      <c r="B17" t="s">
        <v>537</v>
      </c>
      <c r="C17">
        <v>595</v>
      </c>
      <c r="F17" t="s">
        <v>431</v>
      </c>
      <c r="I17" t="s">
        <v>527</v>
      </c>
      <c r="J17" s="6" t="s">
        <v>538</v>
      </c>
      <c r="K17">
        <v>418</v>
      </c>
      <c r="L17" t="s">
        <v>529</v>
      </c>
      <c r="M17" t="s">
        <v>427</v>
      </c>
      <c r="N17" t="s">
        <v>530</v>
      </c>
      <c r="O17" t="s">
        <v>531</v>
      </c>
      <c r="P17" t="s">
        <v>431</v>
      </c>
      <c r="Q17" t="s">
        <v>431</v>
      </c>
      <c r="R17" t="s">
        <v>431</v>
      </c>
      <c r="S17" t="s">
        <v>431</v>
      </c>
      <c r="T17" t="s">
        <v>431</v>
      </c>
      <c r="U17" t="s">
        <v>431</v>
      </c>
      <c r="V17" t="s">
        <v>431</v>
      </c>
      <c r="W17" t="s">
        <v>431</v>
      </c>
      <c r="X17" t="s">
        <v>431</v>
      </c>
      <c r="Y17" t="s">
        <v>431</v>
      </c>
      <c r="Z17" t="s">
        <v>431</v>
      </c>
      <c r="AA17" t="s">
        <v>431</v>
      </c>
      <c r="AB17" t="s">
        <v>431</v>
      </c>
      <c r="AC17" t="s">
        <v>532</v>
      </c>
      <c r="AD17" t="s">
        <v>533</v>
      </c>
      <c r="AE17" t="s">
        <v>534</v>
      </c>
      <c r="AF17">
        <v>669</v>
      </c>
      <c r="AG17">
        <v>20.93</v>
      </c>
      <c r="AH17" t="s">
        <v>443</v>
      </c>
      <c r="AI17" t="s">
        <v>245</v>
      </c>
      <c r="AJ17" t="s">
        <v>444</v>
      </c>
      <c r="AK17">
        <v>47</v>
      </c>
      <c r="AL17" t="s">
        <v>530</v>
      </c>
      <c r="AM17" t="s">
        <v>533</v>
      </c>
      <c r="AN17">
        <v>595</v>
      </c>
      <c r="AO17">
        <v>46</v>
      </c>
      <c r="AP17">
        <v>48</v>
      </c>
      <c r="AQ17">
        <v>46.258064516128997</v>
      </c>
      <c r="AR17">
        <v>35</v>
      </c>
      <c r="AS17">
        <v>32</v>
      </c>
      <c r="AT17">
        <v>0.67406511788582801</v>
      </c>
      <c r="AU17">
        <v>992.48571428571404</v>
      </c>
      <c r="AV17">
        <v>1.1849037049831601</v>
      </c>
      <c r="AW17">
        <v>0.27204421798082701</v>
      </c>
      <c r="AX17" t="s">
        <v>533</v>
      </c>
      <c r="AY17" t="s">
        <v>533</v>
      </c>
      <c r="AZ17" t="s">
        <v>535</v>
      </c>
      <c r="BA17" t="b">
        <v>0</v>
      </c>
      <c r="BB17" t="s">
        <v>536</v>
      </c>
    </row>
    <row r="18" spans="1:54" x14ac:dyDescent="0.2">
      <c r="A18">
        <v>9</v>
      </c>
      <c r="B18" t="s">
        <v>539</v>
      </c>
      <c r="C18">
        <v>655</v>
      </c>
      <c r="F18" t="s">
        <v>431</v>
      </c>
      <c r="I18" t="s">
        <v>540</v>
      </c>
      <c r="J18" s="6" t="s">
        <v>541</v>
      </c>
      <c r="K18">
        <v>136</v>
      </c>
      <c r="L18" t="s">
        <v>542</v>
      </c>
      <c r="M18" t="s">
        <v>427</v>
      </c>
      <c r="N18" t="s">
        <v>456</v>
      </c>
      <c r="O18" t="s">
        <v>543</v>
      </c>
      <c r="P18" t="s">
        <v>431</v>
      </c>
      <c r="Q18" t="s">
        <v>431</v>
      </c>
      <c r="R18" t="s">
        <v>431</v>
      </c>
      <c r="S18" t="s">
        <v>431</v>
      </c>
      <c r="T18" t="s">
        <v>431</v>
      </c>
      <c r="U18" t="s">
        <v>431</v>
      </c>
      <c r="V18" t="s">
        <v>431</v>
      </c>
      <c r="W18" t="s">
        <v>431</v>
      </c>
      <c r="X18" t="s">
        <v>431</v>
      </c>
      <c r="Y18" t="s">
        <v>431</v>
      </c>
      <c r="Z18" t="s">
        <v>431</v>
      </c>
      <c r="AA18" t="s">
        <v>431</v>
      </c>
      <c r="AB18" t="s">
        <v>544</v>
      </c>
      <c r="AC18" t="s">
        <v>545</v>
      </c>
      <c r="AD18" t="s">
        <v>546</v>
      </c>
      <c r="AE18" t="s">
        <v>547</v>
      </c>
      <c r="AF18">
        <v>435</v>
      </c>
      <c r="AG18">
        <v>19.079999999999998</v>
      </c>
      <c r="AH18" t="s">
        <v>443</v>
      </c>
      <c r="AI18" t="s">
        <v>246</v>
      </c>
      <c r="AJ18" t="s">
        <v>444</v>
      </c>
      <c r="AK18">
        <v>27</v>
      </c>
      <c r="AL18" t="s">
        <v>456</v>
      </c>
      <c r="AM18" t="s">
        <v>546</v>
      </c>
      <c r="AN18">
        <v>655</v>
      </c>
      <c r="AO18">
        <v>27</v>
      </c>
      <c r="AP18">
        <v>27</v>
      </c>
      <c r="AQ18">
        <v>27</v>
      </c>
      <c r="AR18">
        <v>76</v>
      </c>
      <c r="AS18">
        <v>75</v>
      </c>
      <c r="AT18">
        <v>0.1178546601786</v>
      </c>
      <c r="AU18">
        <v>3690.9868421052602</v>
      </c>
      <c r="AV18">
        <v>1.18342334634512</v>
      </c>
      <c r="AW18">
        <v>6.9087214587455203E-2</v>
      </c>
      <c r="AX18" t="s">
        <v>546</v>
      </c>
      <c r="AY18" t="s">
        <v>546</v>
      </c>
      <c r="AZ18" t="s">
        <v>548</v>
      </c>
      <c r="BA18" t="b">
        <v>0</v>
      </c>
      <c r="BB18" t="s">
        <v>549</v>
      </c>
    </row>
    <row r="19" spans="1:54" x14ac:dyDescent="0.2">
      <c r="A19">
        <v>10</v>
      </c>
      <c r="B19" t="s">
        <v>550</v>
      </c>
      <c r="C19">
        <v>656</v>
      </c>
      <c r="F19" t="s">
        <v>431</v>
      </c>
      <c r="I19" t="s">
        <v>551</v>
      </c>
      <c r="J19" s="6" t="s">
        <v>552</v>
      </c>
      <c r="K19">
        <v>303</v>
      </c>
      <c r="L19" t="s">
        <v>542</v>
      </c>
      <c r="M19" t="s">
        <v>427</v>
      </c>
      <c r="N19" t="s">
        <v>456</v>
      </c>
      <c r="O19" t="s">
        <v>543</v>
      </c>
      <c r="P19" t="s">
        <v>431</v>
      </c>
      <c r="Q19" t="s">
        <v>431</v>
      </c>
      <c r="R19" t="s">
        <v>431</v>
      </c>
      <c r="S19" t="s">
        <v>431</v>
      </c>
      <c r="T19" t="s">
        <v>431</v>
      </c>
      <c r="U19" t="s">
        <v>431</v>
      </c>
      <c r="V19" t="s">
        <v>431</v>
      </c>
      <c r="W19" t="s">
        <v>431</v>
      </c>
      <c r="X19" t="s">
        <v>431</v>
      </c>
      <c r="Y19" t="s">
        <v>431</v>
      </c>
      <c r="Z19" t="s">
        <v>431</v>
      </c>
      <c r="AA19" t="s">
        <v>431</v>
      </c>
      <c r="AB19" t="s">
        <v>544</v>
      </c>
      <c r="AC19" t="s">
        <v>545</v>
      </c>
      <c r="AD19" t="s">
        <v>546</v>
      </c>
      <c r="AE19" t="s">
        <v>547</v>
      </c>
      <c r="AF19">
        <v>666</v>
      </c>
      <c r="AG19">
        <v>16.52</v>
      </c>
      <c r="AH19" t="s">
        <v>443</v>
      </c>
      <c r="AI19" t="s">
        <v>246</v>
      </c>
      <c r="AJ19" t="s">
        <v>444</v>
      </c>
      <c r="AK19">
        <v>28</v>
      </c>
      <c r="AL19" t="s">
        <v>456</v>
      </c>
      <c r="AM19" t="s">
        <v>546</v>
      </c>
      <c r="AN19">
        <v>656</v>
      </c>
      <c r="AO19">
        <v>28</v>
      </c>
      <c r="AP19">
        <v>28</v>
      </c>
      <c r="AQ19">
        <v>28</v>
      </c>
      <c r="AR19">
        <v>76</v>
      </c>
      <c r="AS19">
        <v>75</v>
      </c>
      <c r="AT19">
        <v>0.180439548687236</v>
      </c>
      <c r="AU19">
        <v>3690.9868421052602</v>
      </c>
      <c r="AV19">
        <v>1.18342334634512</v>
      </c>
      <c r="AW19">
        <v>6.9087214587455203E-2</v>
      </c>
      <c r="AX19" t="s">
        <v>546</v>
      </c>
      <c r="AY19" t="s">
        <v>546</v>
      </c>
      <c r="AZ19" t="s">
        <v>548</v>
      </c>
      <c r="BA19" t="b">
        <v>0</v>
      </c>
      <c r="BB19" t="s">
        <v>549</v>
      </c>
    </row>
    <row r="20" spans="1:54" x14ac:dyDescent="0.2">
      <c r="A20">
        <v>11</v>
      </c>
      <c r="B20" t="s">
        <v>553</v>
      </c>
      <c r="C20">
        <v>613</v>
      </c>
      <c r="F20" t="s">
        <v>431</v>
      </c>
      <c r="I20" t="s">
        <v>554</v>
      </c>
      <c r="J20" s="6" t="s">
        <v>555</v>
      </c>
      <c r="K20">
        <v>89.7</v>
      </c>
      <c r="L20" t="s">
        <v>529</v>
      </c>
      <c r="M20" t="s">
        <v>427</v>
      </c>
      <c r="N20" t="s">
        <v>530</v>
      </c>
      <c r="O20" t="s">
        <v>531</v>
      </c>
      <c r="P20" t="s">
        <v>431</v>
      </c>
      <c r="Q20" t="s">
        <v>431</v>
      </c>
      <c r="R20" t="s">
        <v>431</v>
      </c>
      <c r="S20" t="s">
        <v>431</v>
      </c>
      <c r="T20" t="s">
        <v>431</v>
      </c>
      <c r="U20" t="s">
        <v>431</v>
      </c>
      <c r="V20" t="s">
        <v>431</v>
      </c>
      <c r="W20" t="s">
        <v>431</v>
      </c>
      <c r="X20" t="s">
        <v>431</v>
      </c>
      <c r="Y20" t="s">
        <v>431</v>
      </c>
      <c r="Z20" t="s">
        <v>431</v>
      </c>
      <c r="AA20" t="s">
        <v>431</v>
      </c>
      <c r="AB20" t="s">
        <v>431</v>
      </c>
      <c r="AC20" t="s">
        <v>532</v>
      </c>
      <c r="AD20" t="s">
        <v>533</v>
      </c>
      <c r="AE20" t="s">
        <v>534</v>
      </c>
      <c r="AF20">
        <v>291</v>
      </c>
      <c r="AG20">
        <v>20.96</v>
      </c>
      <c r="AH20" t="s">
        <v>443</v>
      </c>
      <c r="AI20" t="s">
        <v>250</v>
      </c>
      <c r="AJ20" t="s">
        <v>444</v>
      </c>
      <c r="AK20">
        <v>46</v>
      </c>
      <c r="AL20" t="s">
        <v>530</v>
      </c>
      <c r="AM20" t="s">
        <v>533</v>
      </c>
      <c r="AN20">
        <v>613</v>
      </c>
      <c r="AO20">
        <v>46</v>
      </c>
      <c r="AP20">
        <v>46</v>
      </c>
      <c r="AQ20">
        <v>46</v>
      </c>
      <c r="AR20">
        <v>35</v>
      </c>
      <c r="AS20">
        <v>32</v>
      </c>
      <c r="AT20">
        <v>0.29320321271267002</v>
      </c>
      <c r="AU20">
        <v>992.48571428571404</v>
      </c>
      <c r="AV20">
        <v>1.1849037049831601</v>
      </c>
      <c r="AW20">
        <v>0.27204421798082701</v>
      </c>
      <c r="AX20" t="s">
        <v>533</v>
      </c>
      <c r="AY20" t="s">
        <v>533</v>
      </c>
      <c r="AZ20" t="s">
        <v>535</v>
      </c>
      <c r="BA20" t="b">
        <v>0</v>
      </c>
      <c r="BB20" t="s">
        <v>536</v>
      </c>
    </row>
    <row r="21" spans="1:54" x14ac:dyDescent="0.2">
      <c r="A21">
        <v>12</v>
      </c>
      <c r="B21" t="s">
        <v>556</v>
      </c>
      <c r="C21">
        <v>595</v>
      </c>
      <c r="F21" t="s">
        <v>431</v>
      </c>
      <c r="I21" t="s">
        <v>554</v>
      </c>
      <c r="J21" s="6" t="s">
        <v>557</v>
      </c>
      <c r="K21">
        <v>310</v>
      </c>
      <c r="L21" t="s">
        <v>529</v>
      </c>
      <c r="M21" t="s">
        <v>427</v>
      </c>
      <c r="N21" t="s">
        <v>530</v>
      </c>
      <c r="O21" t="s">
        <v>531</v>
      </c>
      <c r="P21" t="s">
        <v>431</v>
      </c>
      <c r="Q21" t="s">
        <v>431</v>
      </c>
      <c r="R21" t="s">
        <v>431</v>
      </c>
      <c r="S21" t="s">
        <v>431</v>
      </c>
      <c r="T21" t="s">
        <v>431</v>
      </c>
      <c r="U21" t="s">
        <v>431</v>
      </c>
      <c r="V21" t="s">
        <v>431</v>
      </c>
      <c r="W21" t="s">
        <v>431</v>
      </c>
      <c r="X21" t="s">
        <v>431</v>
      </c>
      <c r="Y21" t="s">
        <v>431</v>
      </c>
      <c r="Z21" t="s">
        <v>431</v>
      </c>
      <c r="AA21" t="s">
        <v>431</v>
      </c>
      <c r="AB21" t="s">
        <v>431</v>
      </c>
      <c r="AC21" t="s">
        <v>532</v>
      </c>
      <c r="AD21" t="s">
        <v>533</v>
      </c>
      <c r="AE21" t="s">
        <v>534</v>
      </c>
      <c r="AF21">
        <v>609</v>
      </c>
      <c r="AG21">
        <v>20.2</v>
      </c>
      <c r="AH21" t="s">
        <v>443</v>
      </c>
      <c r="AI21" t="s">
        <v>250</v>
      </c>
      <c r="AJ21" t="s">
        <v>444</v>
      </c>
      <c r="AK21">
        <v>47</v>
      </c>
      <c r="AL21" t="s">
        <v>530</v>
      </c>
      <c r="AM21" t="s">
        <v>533</v>
      </c>
      <c r="AN21">
        <v>595</v>
      </c>
      <c r="AO21">
        <v>46</v>
      </c>
      <c r="AP21">
        <v>48</v>
      </c>
      <c r="AQ21">
        <v>46.258064516128997</v>
      </c>
      <c r="AR21">
        <v>35</v>
      </c>
      <c r="AS21">
        <v>32</v>
      </c>
      <c r="AT21">
        <v>0.61361084722342196</v>
      </c>
      <c r="AU21">
        <v>992.48571428571404</v>
      </c>
      <c r="AV21">
        <v>1.1849037049831601</v>
      </c>
      <c r="AW21">
        <v>0.27204421798082701</v>
      </c>
      <c r="AX21" t="s">
        <v>533</v>
      </c>
      <c r="AY21" t="s">
        <v>533</v>
      </c>
      <c r="AZ21" t="s">
        <v>535</v>
      </c>
      <c r="BA21" t="b">
        <v>0</v>
      </c>
      <c r="BB21" t="s">
        <v>536</v>
      </c>
    </row>
    <row r="22" spans="1:54" x14ac:dyDescent="0.2">
      <c r="A22">
        <v>28</v>
      </c>
      <c r="B22" t="s">
        <v>558</v>
      </c>
      <c r="C22">
        <v>626</v>
      </c>
      <c r="F22" t="s">
        <v>355</v>
      </c>
      <c r="I22" t="s">
        <v>559</v>
      </c>
      <c r="J22" s="6" t="s">
        <v>560</v>
      </c>
      <c r="K22">
        <v>625</v>
      </c>
      <c r="L22" t="s">
        <v>471</v>
      </c>
      <c r="M22" t="s">
        <v>427</v>
      </c>
      <c r="N22" t="s">
        <v>472</v>
      </c>
      <c r="O22" t="s">
        <v>473</v>
      </c>
      <c r="P22" t="s">
        <v>355</v>
      </c>
      <c r="Q22" t="s">
        <v>431</v>
      </c>
      <c r="R22" t="s">
        <v>474</v>
      </c>
      <c r="S22" t="s">
        <v>475</v>
      </c>
      <c r="T22" t="s">
        <v>431</v>
      </c>
      <c r="U22" t="s">
        <v>431</v>
      </c>
      <c r="V22" t="s">
        <v>431</v>
      </c>
      <c r="W22" t="s">
        <v>431</v>
      </c>
      <c r="X22" t="s">
        <v>476</v>
      </c>
      <c r="Y22" t="s">
        <v>431</v>
      </c>
      <c r="Z22" t="s">
        <v>431</v>
      </c>
      <c r="AA22" t="s">
        <v>431</v>
      </c>
      <c r="AB22" t="s">
        <v>477</v>
      </c>
      <c r="AC22" t="s">
        <v>478</v>
      </c>
      <c r="AD22" t="s">
        <v>479</v>
      </c>
      <c r="AE22" t="s">
        <v>480</v>
      </c>
      <c r="AF22">
        <v>1035</v>
      </c>
      <c r="AG22">
        <v>31.59</v>
      </c>
      <c r="AH22" t="s">
        <v>443</v>
      </c>
      <c r="AI22" t="s">
        <v>130</v>
      </c>
      <c r="AJ22" t="s">
        <v>444</v>
      </c>
      <c r="AK22">
        <v>336</v>
      </c>
      <c r="AL22" t="s">
        <v>472</v>
      </c>
      <c r="AM22" t="s">
        <v>479</v>
      </c>
      <c r="AN22">
        <v>626</v>
      </c>
      <c r="AO22">
        <v>329</v>
      </c>
      <c r="AP22">
        <v>336</v>
      </c>
      <c r="AQ22">
        <v>332.5</v>
      </c>
      <c r="AR22">
        <v>156</v>
      </c>
      <c r="AS22">
        <v>152</v>
      </c>
      <c r="AT22">
        <v>0.97988165680473405</v>
      </c>
      <c r="AU22">
        <v>1056.25</v>
      </c>
      <c r="AV22">
        <v>1.10485207100592</v>
      </c>
      <c r="AW22">
        <v>0.94011834319526599</v>
      </c>
      <c r="AX22" t="s">
        <v>479</v>
      </c>
      <c r="AY22" t="s">
        <v>479</v>
      </c>
      <c r="AZ22" t="s">
        <v>481</v>
      </c>
      <c r="BA22" t="b">
        <v>1</v>
      </c>
      <c r="BB22" t="s">
        <v>482</v>
      </c>
    </row>
    <row r="23" spans="1:54" x14ac:dyDescent="0.2">
      <c r="A23">
        <v>29</v>
      </c>
      <c r="B23" t="s">
        <v>561</v>
      </c>
      <c r="C23">
        <v>2</v>
      </c>
      <c r="F23" t="s">
        <v>355</v>
      </c>
      <c r="I23" t="s">
        <v>559</v>
      </c>
      <c r="J23" s="6" t="s">
        <v>562</v>
      </c>
      <c r="K23">
        <v>671</v>
      </c>
      <c r="L23" t="s">
        <v>471</v>
      </c>
      <c r="M23" t="s">
        <v>427</v>
      </c>
      <c r="N23" t="s">
        <v>472</v>
      </c>
      <c r="O23" t="s">
        <v>473</v>
      </c>
      <c r="P23" t="s">
        <v>355</v>
      </c>
      <c r="Q23" t="s">
        <v>431</v>
      </c>
      <c r="R23" t="s">
        <v>474</v>
      </c>
      <c r="S23" t="s">
        <v>475</v>
      </c>
      <c r="T23" t="s">
        <v>431</v>
      </c>
      <c r="U23" t="s">
        <v>431</v>
      </c>
      <c r="V23" t="s">
        <v>431</v>
      </c>
      <c r="W23" t="s">
        <v>431</v>
      </c>
      <c r="X23" t="s">
        <v>476</v>
      </c>
      <c r="Y23" t="s">
        <v>431</v>
      </c>
      <c r="Z23" t="s">
        <v>431</v>
      </c>
      <c r="AA23" t="s">
        <v>431</v>
      </c>
      <c r="AB23" t="s">
        <v>477</v>
      </c>
      <c r="AC23" t="s">
        <v>478</v>
      </c>
      <c r="AD23" t="s">
        <v>479</v>
      </c>
      <c r="AE23" t="s">
        <v>480</v>
      </c>
      <c r="AF23">
        <v>1047</v>
      </c>
      <c r="AG23">
        <v>29.42</v>
      </c>
      <c r="AH23" t="s">
        <v>443</v>
      </c>
      <c r="AI23" t="s">
        <v>130</v>
      </c>
      <c r="AJ23" t="s">
        <v>444</v>
      </c>
      <c r="AK23">
        <v>338</v>
      </c>
      <c r="AL23" t="s">
        <v>472</v>
      </c>
      <c r="AM23" t="s">
        <v>479</v>
      </c>
      <c r="AN23">
        <v>2</v>
      </c>
      <c r="AO23">
        <v>274</v>
      </c>
      <c r="AP23">
        <v>339</v>
      </c>
      <c r="AQ23">
        <v>320.38961038961003</v>
      </c>
      <c r="AR23">
        <v>156</v>
      </c>
      <c r="AS23">
        <v>152</v>
      </c>
      <c r="AT23">
        <v>0.99124260355029603</v>
      </c>
      <c r="AU23">
        <v>1056.25</v>
      </c>
      <c r="AV23">
        <v>1.10485207100592</v>
      </c>
      <c r="AW23">
        <v>0.94011834319526599</v>
      </c>
      <c r="AX23" t="s">
        <v>479</v>
      </c>
      <c r="AY23" t="s">
        <v>479</v>
      </c>
      <c r="AZ23" t="s">
        <v>481</v>
      </c>
      <c r="BA23" t="b">
        <v>1</v>
      </c>
      <c r="BB23" t="s">
        <v>482</v>
      </c>
    </row>
    <row r="24" spans="1:54" x14ac:dyDescent="0.2">
      <c r="A24">
        <v>30</v>
      </c>
      <c r="B24" t="s">
        <v>563</v>
      </c>
      <c r="C24">
        <v>692</v>
      </c>
      <c r="F24" t="s">
        <v>568</v>
      </c>
      <c r="I24" t="s">
        <v>564</v>
      </c>
      <c r="J24">
        <v>0</v>
      </c>
      <c r="K24">
        <v>958</v>
      </c>
      <c r="L24" t="s">
        <v>565</v>
      </c>
      <c r="M24" t="s">
        <v>427</v>
      </c>
      <c r="N24" t="s">
        <v>566</v>
      </c>
      <c r="O24" t="s">
        <v>567</v>
      </c>
      <c r="P24" t="s">
        <v>568</v>
      </c>
      <c r="Q24" t="s">
        <v>431</v>
      </c>
      <c r="R24" t="s">
        <v>431</v>
      </c>
      <c r="S24" t="s">
        <v>569</v>
      </c>
      <c r="T24" t="s">
        <v>431</v>
      </c>
      <c r="U24" t="s">
        <v>431</v>
      </c>
      <c r="V24" t="s">
        <v>431</v>
      </c>
      <c r="W24" t="s">
        <v>431</v>
      </c>
      <c r="X24" t="s">
        <v>570</v>
      </c>
      <c r="Y24" t="s">
        <v>571</v>
      </c>
      <c r="Z24" t="s">
        <v>431</v>
      </c>
      <c r="AA24" t="s">
        <v>431</v>
      </c>
      <c r="AB24" t="s">
        <v>572</v>
      </c>
      <c r="AC24" t="s">
        <v>573</v>
      </c>
      <c r="AD24" t="s">
        <v>574</v>
      </c>
      <c r="AE24" t="s">
        <v>575</v>
      </c>
      <c r="AF24">
        <v>1917</v>
      </c>
      <c r="AG24">
        <v>25.14</v>
      </c>
      <c r="AH24" t="s">
        <v>443</v>
      </c>
      <c r="AI24" t="s">
        <v>131</v>
      </c>
      <c r="AJ24" t="s">
        <v>444</v>
      </c>
      <c r="AK24">
        <v>59</v>
      </c>
      <c r="AL24" t="s">
        <v>566</v>
      </c>
      <c r="AM24" t="s">
        <v>574</v>
      </c>
      <c r="AN24">
        <v>692</v>
      </c>
      <c r="AO24">
        <v>59</v>
      </c>
      <c r="AP24">
        <v>59</v>
      </c>
      <c r="AQ24">
        <v>59</v>
      </c>
      <c r="AR24">
        <v>153</v>
      </c>
      <c r="AS24">
        <v>152</v>
      </c>
      <c r="AT24">
        <v>0.65032327586206895</v>
      </c>
      <c r="AU24">
        <v>2947.76470588235</v>
      </c>
      <c r="AV24">
        <v>1.0350215517241399</v>
      </c>
      <c r="AW24">
        <v>0.65032327586206895</v>
      </c>
      <c r="AX24" t="s">
        <v>574</v>
      </c>
      <c r="AY24" t="s">
        <v>574</v>
      </c>
      <c r="AZ24" t="s">
        <v>576</v>
      </c>
      <c r="BA24" t="b">
        <v>1</v>
      </c>
      <c r="BB24" t="s">
        <v>577</v>
      </c>
    </row>
    <row r="25" spans="1:54" x14ac:dyDescent="0.2">
      <c r="A25">
        <v>31</v>
      </c>
      <c r="B25" t="s">
        <v>578</v>
      </c>
      <c r="C25">
        <v>6</v>
      </c>
      <c r="F25" t="s">
        <v>568</v>
      </c>
      <c r="I25" t="s">
        <v>564</v>
      </c>
      <c r="J25">
        <v>0</v>
      </c>
      <c r="K25">
        <v>1653</v>
      </c>
      <c r="L25" t="s">
        <v>565</v>
      </c>
      <c r="M25" t="s">
        <v>427</v>
      </c>
      <c r="N25" t="s">
        <v>566</v>
      </c>
      <c r="O25" t="s">
        <v>567</v>
      </c>
      <c r="P25" t="s">
        <v>568</v>
      </c>
      <c r="Q25" t="s">
        <v>431</v>
      </c>
      <c r="R25" t="s">
        <v>431</v>
      </c>
      <c r="S25" t="s">
        <v>569</v>
      </c>
      <c r="T25" t="s">
        <v>431</v>
      </c>
      <c r="U25" t="s">
        <v>431</v>
      </c>
      <c r="V25" t="s">
        <v>431</v>
      </c>
      <c r="W25" t="s">
        <v>431</v>
      </c>
      <c r="X25" t="s">
        <v>570</v>
      </c>
      <c r="Y25" t="s">
        <v>571</v>
      </c>
      <c r="Z25" t="s">
        <v>431</v>
      </c>
      <c r="AA25" t="s">
        <v>431</v>
      </c>
      <c r="AB25" t="s">
        <v>572</v>
      </c>
      <c r="AC25" t="s">
        <v>573</v>
      </c>
      <c r="AD25" t="s">
        <v>574</v>
      </c>
      <c r="AE25" t="s">
        <v>575</v>
      </c>
      <c r="AF25">
        <v>3030</v>
      </c>
      <c r="AG25">
        <v>26.11</v>
      </c>
      <c r="AH25" t="s">
        <v>443</v>
      </c>
      <c r="AI25" t="s">
        <v>131</v>
      </c>
      <c r="AJ25" t="s">
        <v>444</v>
      </c>
      <c r="AK25">
        <v>60</v>
      </c>
      <c r="AL25" t="s">
        <v>566</v>
      </c>
      <c r="AM25" t="s">
        <v>574</v>
      </c>
      <c r="AN25">
        <v>6</v>
      </c>
      <c r="AO25">
        <v>44</v>
      </c>
      <c r="AP25">
        <v>295</v>
      </c>
      <c r="AQ25">
        <v>57.618421052631597</v>
      </c>
      <c r="AR25">
        <v>153</v>
      </c>
      <c r="AS25">
        <v>152</v>
      </c>
      <c r="AT25">
        <v>1.0278975095785401</v>
      </c>
      <c r="AU25">
        <v>2947.76470588235</v>
      </c>
      <c r="AV25">
        <v>1.0350215517241399</v>
      </c>
      <c r="AW25">
        <v>0.65032327586206895</v>
      </c>
      <c r="AX25" t="s">
        <v>574</v>
      </c>
      <c r="AY25" t="s">
        <v>574</v>
      </c>
      <c r="AZ25" t="s">
        <v>576</v>
      </c>
      <c r="BA25" t="b">
        <v>1</v>
      </c>
      <c r="BB25" t="s">
        <v>577</v>
      </c>
    </row>
    <row r="26" spans="1:54" x14ac:dyDescent="0.2">
      <c r="A26">
        <v>32</v>
      </c>
      <c r="B26" t="s">
        <v>579</v>
      </c>
      <c r="C26">
        <v>626</v>
      </c>
      <c r="F26" t="s">
        <v>355</v>
      </c>
      <c r="I26" t="s">
        <v>469</v>
      </c>
      <c r="J26" s="6" t="s">
        <v>580</v>
      </c>
      <c r="K26">
        <v>582</v>
      </c>
      <c r="L26" t="s">
        <v>471</v>
      </c>
      <c r="M26" t="s">
        <v>427</v>
      </c>
      <c r="N26" t="s">
        <v>472</v>
      </c>
      <c r="O26" t="s">
        <v>473</v>
      </c>
      <c r="P26" t="s">
        <v>355</v>
      </c>
      <c r="Q26" t="s">
        <v>431</v>
      </c>
      <c r="R26" t="s">
        <v>474</v>
      </c>
      <c r="S26" t="s">
        <v>475</v>
      </c>
      <c r="T26" t="s">
        <v>431</v>
      </c>
      <c r="U26" t="s">
        <v>431</v>
      </c>
      <c r="V26" t="s">
        <v>431</v>
      </c>
      <c r="W26" t="s">
        <v>431</v>
      </c>
      <c r="X26" t="s">
        <v>476</v>
      </c>
      <c r="Y26" t="s">
        <v>431</v>
      </c>
      <c r="Z26" t="s">
        <v>431</v>
      </c>
      <c r="AA26" t="s">
        <v>431</v>
      </c>
      <c r="AB26" t="s">
        <v>477</v>
      </c>
      <c r="AC26" t="s">
        <v>478</v>
      </c>
      <c r="AD26" t="s">
        <v>479</v>
      </c>
      <c r="AE26" t="s">
        <v>480</v>
      </c>
      <c r="AF26">
        <v>993</v>
      </c>
      <c r="AG26">
        <v>27.59</v>
      </c>
      <c r="AH26" t="s">
        <v>443</v>
      </c>
      <c r="AI26" t="s">
        <v>135</v>
      </c>
      <c r="AJ26" t="s">
        <v>444</v>
      </c>
      <c r="AK26">
        <v>329</v>
      </c>
      <c r="AL26" t="s">
        <v>472</v>
      </c>
      <c r="AM26" t="s">
        <v>479</v>
      </c>
      <c r="AN26">
        <v>626</v>
      </c>
      <c r="AO26">
        <v>329</v>
      </c>
      <c r="AP26">
        <v>336</v>
      </c>
      <c r="AQ26">
        <v>332.5</v>
      </c>
      <c r="AR26">
        <v>156</v>
      </c>
      <c r="AS26">
        <v>152</v>
      </c>
      <c r="AT26">
        <v>0.94011834319526599</v>
      </c>
      <c r="AU26">
        <v>1056.25</v>
      </c>
      <c r="AV26">
        <v>1.10485207100592</v>
      </c>
      <c r="AW26">
        <v>0.94011834319526599</v>
      </c>
      <c r="AX26" t="s">
        <v>479</v>
      </c>
      <c r="AY26" t="s">
        <v>479</v>
      </c>
      <c r="AZ26" t="s">
        <v>481</v>
      </c>
      <c r="BA26" t="b">
        <v>1</v>
      </c>
      <c r="BB26" t="s">
        <v>482</v>
      </c>
    </row>
    <row r="27" spans="1:54" x14ac:dyDescent="0.2">
      <c r="A27">
        <v>33</v>
      </c>
      <c r="B27" t="s">
        <v>581</v>
      </c>
      <c r="C27">
        <v>2</v>
      </c>
      <c r="F27" t="s">
        <v>355</v>
      </c>
      <c r="I27" t="s">
        <v>469</v>
      </c>
      <c r="J27" s="6" t="s">
        <v>582</v>
      </c>
      <c r="K27">
        <v>634</v>
      </c>
      <c r="L27" t="s">
        <v>471</v>
      </c>
      <c r="M27" t="s">
        <v>427</v>
      </c>
      <c r="N27" t="s">
        <v>472</v>
      </c>
      <c r="O27" t="s">
        <v>473</v>
      </c>
      <c r="P27" t="s">
        <v>355</v>
      </c>
      <c r="Q27" t="s">
        <v>431</v>
      </c>
      <c r="R27" t="s">
        <v>474</v>
      </c>
      <c r="S27" t="s">
        <v>475</v>
      </c>
      <c r="T27" t="s">
        <v>431</v>
      </c>
      <c r="U27" t="s">
        <v>431</v>
      </c>
      <c r="V27" t="s">
        <v>431</v>
      </c>
      <c r="W27" t="s">
        <v>431</v>
      </c>
      <c r="X27" t="s">
        <v>476</v>
      </c>
      <c r="Y27" t="s">
        <v>431</v>
      </c>
      <c r="Z27" t="s">
        <v>431</v>
      </c>
      <c r="AA27" t="s">
        <v>431</v>
      </c>
      <c r="AB27" t="s">
        <v>477</v>
      </c>
      <c r="AC27" t="s">
        <v>478</v>
      </c>
      <c r="AD27" t="s">
        <v>479</v>
      </c>
      <c r="AE27" t="s">
        <v>480</v>
      </c>
      <c r="AF27">
        <v>1056</v>
      </c>
      <c r="AG27">
        <v>26.8</v>
      </c>
      <c r="AH27" t="s">
        <v>443</v>
      </c>
      <c r="AI27" t="s">
        <v>135</v>
      </c>
      <c r="AJ27" t="s">
        <v>444</v>
      </c>
      <c r="AK27">
        <v>331</v>
      </c>
      <c r="AL27" t="s">
        <v>472</v>
      </c>
      <c r="AM27" t="s">
        <v>479</v>
      </c>
      <c r="AN27">
        <v>2</v>
      </c>
      <c r="AO27">
        <v>274</v>
      </c>
      <c r="AP27">
        <v>339</v>
      </c>
      <c r="AQ27">
        <v>320.38961038961003</v>
      </c>
      <c r="AR27">
        <v>156</v>
      </c>
      <c r="AS27">
        <v>152</v>
      </c>
      <c r="AT27">
        <v>0.99976331360946702</v>
      </c>
      <c r="AU27">
        <v>1056.25</v>
      </c>
      <c r="AV27">
        <v>1.10485207100592</v>
      </c>
      <c r="AW27">
        <v>0.94011834319526599</v>
      </c>
      <c r="AX27" t="s">
        <v>479</v>
      </c>
      <c r="AY27" t="s">
        <v>479</v>
      </c>
      <c r="AZ27" t="s">
        <v>481</v>
      </c>
      <c r="BA27" t="b">
        <v>1</v>
      </c>
      <c r="BB27" t="s">
        <v>482</v>
      </c>
    </row>
    <row r="28" spans="1:54" x14ac:dyDescent="0.2">
      <c r="A28">
        <v>34</v>
      </c>
      <c r="B28" t="s">
        <v>583</v>
      </c>
      <c r="C28">
        <v>3</v>
      </c>
      <c r="F28" t="s">
        <v>589</v>
      </c>
      <c r="I28" t="s">
        <v>584</v>
      </c>
      <c r="J28" s="6" t="s">
        <v>585</v>
      </c>
      <c r="K28">
        <v>234</v>
      </c>
      <c r="L28" t="s">
        <v>586</v>
      </c>
      <c r="M28" t="s">
        <v>427</v>
      </c>
      <c r="N28" t="s">
        <v>587</v>
      </c>
      <c r="O28" t="s">
        <v>588</v>
      </c>
      <c r="P28" t="s">
        <v>589</v>
      </c>
      <c r="Q28" t="s">
        <v>590</v>
      </c>
      <c r="R28" t="s">
        <v>431</v>
      </c>
      <c r="S28" t="s">
        <v>591</v>
      </c>
      <c r="T28" t="s">
        <v>592</v>
      </c>
      <c r="U28" t="s">
        <v>593</v>
      </c>
      <c r="V28" t="s">
        <v>431</v>
      </c>
      <c r="W28" t="s">
        <v>431</v>
      </c>
      <c r="X28" t="s">
        <v>594</v>
      </c>
      <c r="Y28" t="s">
        <v>431</v>
      </c>
      <c r="Z28" t="s">
        <v>431</v>
      </c>
      <c r="AA28" t="s">
        <v>431</v>
      </c>
      <c r="AB28" t="s">
        <v>595</v>
      </c>
      <c r="AC28" t="s">
        <v>596</v>
      </c>
      <c r="AD28" t="s">
        <v>597</v>
      </c>
      <c r="AE28" t="s">
        <v>598</v>
      </c>
      <c r="AF28">
        <v>546</v>
      </c>
      <c r="AG28">
        <v>20.88</v>
      </c>
      <c r="AH28" t="s">
        <v>443</v>
      </c>
      <c r="AI28" t="s">
        <v>138</v>
      </c>
      <c r="AJ28" t="s">
        <v>444</v>
      </c>
      <c r="AK28">
        <v>311</v>
      </c>
      <c r="AL28" t="s">
        <v>587</v>
      </c>
      <c r="AM28" t="s">
        <v>597</v>
      </c>
      <c r="AN28">
        <v>3</v>
      </c>
      <c r="AO28">
        <v>311</v>
      </c>
      <c r="AP28">
        <v>389</v>
      </c>
      <c r="AQ28">
        <v>364.37908496732001</v>
      </c>
      <c r="AR28">
        <v>153</v>
      </c>
      <c r="AS28">
        <v>152</v>
      </c>
      <c r="AT28">
        <v>0.98090742567281997</v>
      </c>
      <c r="AU28">
        <v>556.62745098039204</v>
      </c>
      <c r="AV28">
        <v>1.0563618430322701</v>
      </c>
      <c r="AW28">
        <v>0.98090742567281997</v>
      </c>
      <c r="AX28" t="s">
        <v>597</v>
      </c>
      <c r="AY28" t="s">
        <v>597</v>
      </c>
      <c r="AZ28">
        <v>3</v>
      </c>
      <c r="BA28" t="b">
        <v>1</v>
      </c>
      <c r="BB28" t="s">
        <v>599</v>
      </c>
    </row>
    <row r="29" spans="1:54" x14ac:dyDescent="0.2">
      <c r="A29">
        <v>35</v>
      </c>
      <c r="B29" t="s">
        <v>600</v>
      </c>
      <c r="C29">
        <v>5</v>
      </c>
      <c r="F29" t="s">
        <v>605</v>
      </c>
      <c r="I29" t="s">
        <v>601</v>
      </c>
      <c r="J29" s="6" t="s">
        <v>602</v>
      </c>
      <c r="K29">
        <v>193</v>
      </c>
      <c r="L29" t="s">
        <v>603</v>
      </c>
      <c r="M29" t="s">
        <v>427</v>
      </c>
      <c r="N29" t="s">
        <v>587</v>
      </c>
      <c r="O29" t="s">
        <v>604</v>
      </c>
      <c r="P29" t="s">
        <v>605</v>
      </c>
      <c r="Q29" t="s">
        <v>606</v>
      </c>
      <c r="R29" t="s">
        <v>431</v>
      </c>
      <c r="S29" t="s">
        <v>607</v>
      </c>
      <c r="T29" t="s">
        <v>592</v>
      </c>
      <c r="U29" t="s">
        <v>593</v>
      </c>
      <c r="V29" t="s">
        <v>431</v>
      </c>
      <c r="W29" t="s">
        <v>431</v>
      </c>
      <c r="X29" t="s">
        <v>594</v>
      </c>
      <c r="Y29" t="s">
        <v>431</v>
      </c>
      <c r="Z29" t="s">
        <v>431</v>
      </c>
      <c r="AA29" t="s">
        <v>431</v>
      </c>
      <c r="AB29" t="s">
        <v>608</v>
      </c>
      <c r="AC29" t="s">
        <v>609</v>
      </c>
      <c r="AD29" t="s">
        <v>610</v>
      </c>
      <c r="AE29" t="s">
        <v>611</v>
      </c>
      <c r="AF29">
        <v>390</v>
      </c>
      <c r="AG29">
        <v>19.489999999999998</v>
      </c>
      <c r="AH29" t="s">
        <v>443</v>
      </c>
      <c r="AI29" t="s">
        <v>138</v>
      </c>
      <c r="AJ29" t="s">
        <v>444</v>
      </c>
      <c r="AK29">
        <v>312</v>
      </c>
      <c r="AL29" t="s">
        <v>587</v>
      </c>
      <c r="AM29" t="s">
        <v>610</v>
      </c>
      <c r="AN29">
        <v>5</v>
      </c>
      <c r="AO29">
        <v>312</v>
      </c>
      <c r="AP29">
        <v>390</v>
      </c>
      <c r="AQ29">
        <v>365.37908496732001</v>
      </c>
      <c r="AR29">
        <v>153</v>
      </c>
      <c r="AS29">
        <v>152</v>
      </c>
      <c r="AT29">
        <v>0.98866686549358795</v>
      </c>
      <c r="AU29">
        <v>394.47058823529397</v>
      </c>
      <c r="AV29">
        <v>1.0875335520429501</v>
      </c>
      <c r="AW29">
        <v>0.95064121682075697</v>
      </c>
      <c r="AX29" t="s">
        <v>610</v>
      </c>
      <c r="AY29" t="s">
        <v>610</v>
      </c>
      <c r="AZ29">
        <v>5</v>
      </c>
      <c r="BA29" t="b">
        <v>1</v>
      </c>
      <c r="BB29" t="s">
        <v>612</v>
      </c>
    </row>
    <row r="30" spans="1:54" x14ac:dyDescent="0.2">
      <c r="A30">
        <v>36</v>
      </c>
      <c r="B30" t="s">
        <v>613</v>
      </c>
      <c r="C30">
        <v>4</v>
      </c>
      <c r="F30" t="s">
        <v>618</v>
      </c>
      <c r="I30" t="s">
        <v>614</v>
      </c>
      <c r="J30" s="6" t="s">
        <v>615</v>
      </c>
      <c r="K30">
        <v>147</v>
      </c>
      <c r="L30" t="s">
        <v>616</v>
      </c>
      <c r="M30" t="s">
        <v>427</v>
      </c>
      <c r="N30" t="s">
        <v>587</v>
      </c>
      <c r="O30" t="s">
        <v>617</v>
      </c>
      <c r="P30" t="s">
        <v>618</v>
      </c>
      <c r="Q30" t="s">
        <v>619</v>
      </c>
      <c r="R30" t="s">
        <v>431</v>
      </c>
      <c r="S30" t="s">
        <v>620</v>
      </c>
      <c r="T30" t="s">
        <v>592</v>
      </c>
      <c r="U30" t="s">
        <v>593</v>
      </c>
      <c r="V30" t="s">
        <v>431</v>
      </c>
      <c r="W30" t="s">
        <v>431</v>
      </c>
      <c r="X30" t="s">
        <v>594</v>
      </c>
      <c r="Y30" t="s">
        <v>431</v>
      </c>
      <c r="Z30" t="s">
        <v>431</v>
      </c>
      <c r="AA30" t="s">
        <v>431</v>
      </c>
      <c r="AB30" t="s">
        <v>621</v>
      </c>
      <c r="AC30" t="s">
        <v>622</v>
      </c>
      <c r="AD30" t="s">
        <v>623</v>
      </c>
      <c r="AE30" t="s">
        <v>624</v>
      </c>
      <c r="AF30">
        <v>270</v>
      </c>
      <c r="AG30">
        <v>30.74</v>
      </c>
      <c r="AH30" t="s">
        <v>443</v>
      </c>
      <c r="AI30" t="s">
        <v>138</v>
      </c>
      <c r="AJ30" t="s">
        <v>444</v>
      </c>
      <c r="AK30">
        <v>313</v>
      </c>
      <c r="AL30" t="s">
        <v>587</v>
      </c>
      <c r="AM30" t="s">
        <v>623</v>
      </c>
      <c r="AN30">
        <v>4</v>
      </c>
      <c r="AO30">
        <v>313</v>
      </c>
      <c r="AP30">
        <v>391</v>
      </c>
      <c r="AQ30">
        <v>366.37908496732001</v>
      </c>
      <c r="AR30">
        <v>153</v>
      </c>
      <c r="AS30">
        <v>152</v>
      </c>
      <c r="AT30">
        <v>0.96085409252668996</v>
      </c>
      <c r="AU30">
        <v>281</v>
      </c>
      <c r="AV30">
        <v>1.2064056939501799</v>
      </c>
      <c r="AW30">
        <v>0.96085409252668996</v>
      </c>
      <c r="AX30" t="s">
        <v>623</v>
      </c>
      <c r="AY30" t="s">
        <v>623</v>
      </c>
      <c r="AZ30">
        <v>4</v>
      </c>
      <c r="BA30" t="b">
        <v>1</v>
      </c>
      <c r="BB30" t="s">
        <v>625</v>
      </c>
    </row>
    <row r="31" spans="1:54" x14ac:dyDescent="0.2">
      <c r="A31">
        <v>37</v>
      </c>
      <c r="B31" t="s">
        <v>361</v>
      </c>
      <c r="C31">
        <v>628</v>
      </c>
      <c r="F31" t="s">
        <v>360</v>
      </c>
      <c r="I31" t="s">
        <v>626</v>
      </c>
      <c r="J31" s="6" t="s">
        <v>627</v>
      </c>
      <c r="K31">
        <v>250</v>
      </c>
      <c r="L31" t="s">
        <v>628</v>
      </c>
      <c r="M31" t="s">
        <v>427</v>
      </c>
      <c r="N31" t="s">
        <v>587</v>
      </c>
      <c r="O31" t="s">
        <v>629</v>
      </c>
      <c r="P31" t="s">
        <v>360</v>
      </c>
      <c r="Q31" t="s">
        <v>630</v>
      </c>
      <c r="R31" t="s">
        <v>431</v>
      </c>
      <c r="S31" t="s">
        <v>631</v>
      </c>
      <c r="T31" t="s">
        <v>592</v>
      </c>
      <c r="U31" t="s">
        <v>593</v>
      </c>
      <c r="V31" t="s">
        <v>431</v>
      </c>
      <c r="W31" t="s">
        <v>431</v>
      </c>
      <c r="X31" t="s">
        <v>594</v>
      </c>
      <c r="Y31" t="s">
        <v>431</v>
      </c>
      <c r="Z31" t="s">
        <v>431</v>
      </c>
      <c r="AA31" t="s">
        <v>431</v>
      </c>
      <c r="AB31" t="s">
        <v>632</v>
      </c>
      <c r="AC31" t="s">
        <v>633</v>
      </c>
      <c r="AD31" t="s">
        <v>634</v>
      </c>
      <c r="AE31" t="s">
        <v>635</v>
      </c>
      <c r="AF31">
        <v>468</v>
      </c>
      <c r="AG31">
        <v>25.43</v>
      </c>
      <c r="AH31" t="s">
        <v>443</v>
      </c>
      <c r="AI31" t="s">
        <v>138</v>
      </c>
      <c r="AJ31" t="s">
        <v>444</v>
      </c>
      <c r="AK31">
        <v>314</v>
      </c>
      <c r="AL31" t="s">
        <v>587</v>
      </c>
      <c r="AM31" t="s">
        <v>634</v>
      </c>
      <c r="AN31">
        <v>628</v>
      </c>
      <c r="AO31">
        <v>314</v>
      </c>
      <c r="AP31">
        <v>334</v>
      </c>
      <c r="AQ31">
        <v>324</v>
      </c>
      <c r="AR31">
        <v>154</v>
      </c>
      <c r="AS31">
        <v>152</v>
      </c>
      <c r="AT31">
        <v>0.83422459893048095</v>
      </c>
      <c r="AU31">
        <v>561</v>
      </c>
      <c r="AV31">
        <v>1.1176470588235301</v>
      </c>
      <c r="AW31">
        <v>0.83422459893048095</v>
      </c>
      <c r="AX31" t="s">
        <v>634</v>
      </c>
      <c r="AY31" t="s">
        <v>634</v>
      </c>
      <c r="AZ31" t="s">
        <v>636</v>
      </c>
      <c r="BA31" t="b">
        <v>1</v>
      </c>
      <c r="BB31" t="s">
        <v>637</v>
      </c>
    </row>
    <row r="32" spans="1:54" x14ac:dyDescent="0.2">
      <c r="A32">
        <v>38</v>
      </c>
      <c r="B32" t="s">
        <v>638</v>
      </c>
      <c r="C32">
        <v>3</v>
      </c>
      <c r="F32" t="s">
        <v>589</v>
      </c>
      <c r="I32" t="s">
        <v>584</v>
      </c>
      <c r="J32" s="6" t="s">
        <v>585</v>
      </c>
      <c r="K32">
        <v>234</v>
      </c>
      <c r="L32" t="s">
        <v>586</v>
      </c>
      <c r="M32" t="s">
        <v>427</v>
      </c>
      <c r="N32" t="s">
        <v>587</v>
      </c>
      <c r="O32" t="s">
        <v>588</v>
      </c>
      <c r="P32" t="s">
        <v>589</v>
      </c>
      <c r="Q32" t="s">
        <v>590</v>
      </c>
      <c r="R32" t="s">
        <v>431</v>
      </c>
      <c r="S32" t="s">
        <v>591</v>
      </c>
      <c r="T32" t="s">
        <v>592</v>
      </c>
      <c r="U32" t="s">
        <v>593</v>
      </c>
      <c r="V32" t="s">
        <v>431</v>
      </c>
      <c r="W32" t="s">
        <v>431</v>
      </c>
      <c r="X32" t="s">
        <v>594</v>
      </c>
      <c r="Y32" t="s">
        <v>431</v>
      </c>
      <c r="Z32" t="s">
        <v>431</v>
      </c>
      <c r="AA32" t="s">
        <v>431</v>
      </c>
      <c r="AB32" t="s">
        <v>595</v>
      </c>
      <c r="AC32" t="s">
        <v>596</v>
      </c>
      <c r="AD32" t="s">
        <v>597</v>
      </c>
      <c r="AE32" t="s">
        <v>598</v>
      </c>
      <c r="AF32">
        <v>546</v>
      </c>
      <c r="AG32">
        <v>20.88</v>
      </c>
      <c r="AH32" t="s">
        <v>443</v>
      </c>
      <c r="AI32" t="s">
        <v>138</v>
      </c>
      <c r="AJ32" t="s">
        <v>444</v>
      </c>
      <c r="AK32">
        <v>316</v>
      </c>
      <c r="AL32" t="s">
        <v>587</v>
      </c>
      <c r="AM32" t="s">
        <v>597</v>
      </c>
      <c r="AN32">
        <v>3</v>
      </c>
      <c r="AO32">
        <v>311</v>
      </c>
      <c r="AP32">
        <v>389</v>
      </c>
      <c r="AQ32">
        <v>364.37908496732001</v>
      </c>
      <c r="AR32">
        <v>153</v>
      </c>
      <c r="AS32">
        <v>152</v>
      </c>
      <c r="AT32">
        <v>0.98090742567281997</v>
      </c>
      <c r="AU32">
        <v>556.62745098039204</v>
      </c>
      <c r="AV32">
        <v>1.0563618430322701</v>
      </c>
      <c r="AW32">
        <v>0.98090742567281997</v>
      </c>
      <c r="AX32" t="s">
        <v>597</v>
      </c>
      <c r="AY32" t="s">
        <v>597</v>
      </c>
      <c r="AZ32">
        <v>3</v>
      </c>
      <c r="BA32" t="b">
        <v>1</v>
      </c>
      <c r="BB32" t="s">
        <v>599</v>
      </c>
    </row>
    <row r="33" spans="1:54" x14ac:dyDescent="0.2">
      <c r="A33">
        <v>39</v>
      </c>
      <c r="B33" t="s">
        <v>639</v>
      </c>
      <c r="C33">
        <v>5</v>
      </c>
      <c r="F33" t="s">
        <v>605</v>
      </c>
      <c r="I33" t="s">
        <v>601</v>
      </c>
      <c r="J33" s="6" t="s">
        <v>602</v>
      </c>
      <c r="K33">
        <v>193</v>
      </c>
      <c r="L33" t="s">
        <v>603</v>
      </c>
      <c r="M33" t="s">
        <v>427</v>
      </c>
      <c r="N33" t="s">
        <v>587</v>
      </c>
      <c r="O33" t="s">
        <v>604</v>
      </c>
      <c r="P33" t="s">
        <v>605</v>
      </c>
      <c r="Q33" t="s">
        <v>606</v>
      </c>
      <c r="R33" t="s">
        <v>431</v>
      </c>
      <c r="S33" t="s">
        <v>607</v>
      </c>
      <c r="T33" t="s">
        <v>592</v>
      </c>
      <c r="U33" t="s">
        <v>593</v>
      </c>
      <c r="V33" t="s">
        <v>431</v>
      </c>
      <c r="W33" t="s">
        <v>431</v>
      </c>
      <c r="X33" t="s">
        <v>594</v>
      </c>
      <c r="Y33" t="s">
        <v>431</v>
      </c>
      <c r="Z33" t="s">
        <v>431</v>
      </c>
      <c r="AA33" t="s">
        <v>431</v>
      </c>
      <c r="AB33" t="s">
        <v>608</v>
      </c>
      <c r="AC33" t="s">
        <v>609</v>
      </c>
      <c r="AD33" t="s">
        <v>610</v>
      </c>
      <c r="AE33" t="s">
        <v>611</v>
      </c>
      <c r="AF33">
        <v>390</v>
      </c>
      <c r="AG33">
        <v>19.489999999999998</v>
      </c>
      <c r="AH33" t="s">
        <v>443</v>
      </c>
      <c r="AI33" t="s">
        <v>138</v>
      </c>
      <c r="AJ33" t="s">
        <v>444</v>
      </c>
      <c r="AK33">
        <v>317</v>
      </c>
      <c r="AL33" t="s">
        <v>587</v>
      </c>
      <c r="AM33" t="s">
        <v>610</v>
      </c>
      <c r="AN33">
        <v>5</v>
      </c>
      <c r="AO33">
        <v>312</v>
      </c>
      <c r="AP33">
        <v>390</v>
      </c>
      <c r="AQ33">
        <v>365.37908496732001</v>
      </c>
      <c r="AR33">
        <v>153</v>
      </c>
      <c r="AS33">
        <v>152</v>
      </c>
      <c r="AT33">
        <v>0.98866686549358795</v>
      </c>
      <c r="AU33">
        <v>394.47058823529397</v>
      </c>
      <c r="AV33">
        <v>1.0875335520429501</v>
      </c>
      <c r="AW33">
        <v>0.95064121682075697</v>
      </c>
      <c r="AX33" t="s">
        <v>610</v>
      </c>
      <c r="AY33" t="s">
        <v>610</v>
      </c>
      <c r="AZ33">
        <v>5</v>
      </c>
      <c r="BA33" t="b">
        <v>1</v>
      </c>
      <c r="BB33" t="s">
        <v>612</v>
      </c>
    </row>
    <row r="34" spans="1:54" x14ac:dyDescent="0.2">
      <c r="A34">
        <v>40</v>
      </c>
      <c r="B34" t="s">
        <v>640</v>
      </c>
      <c r="C34">
        <v>4</v>
      </c>
      <c r="F34" t="s">
        <v>618</v>
      </c>
      <c r="I34" t="s">
        <v>614</v>
      </c>
      <c r="J34" s="6" t="s">
        <v>615</v>
      </c>
      <c r="K34">
        <v>147</v>
      </c>
      <c r="L34" t="s">
        <v>616</v>
      </c>
      <c r="M34" t="s">
        <v>427</v>
      </c>
      <c r="N34" t="s">
        <v>587</v>
      </c>
      <c r="O34" t="s">
        <v>617</v>
      </c>
      <c r="P34" t="s">
        <v>618</v>
      </c>
      <c r="Q34" t="s">
        <v>619</v>
      </c>
      <c r="R34" t="s">
        <v>431</v>
      </c>
      <c r="S34" t="s">
        <v>620</v>
      </c>
      <c r="T34" t="s">
        <v>592</v>
      </c>
      <c r="U34" t="s">
        <v>593</v>
      </c>
      <c r="V34" t="s">
        <v>431</v>
      </c>
      <c r="W34" t="s">
        <v>431</v>
      </c>
      <c r="X34" t="s">
        <v>594</v>
      </c>
      <c r="Y34" t="s">
        <v>431</v>
      </c>
      <c r="Z34" t="s">
        <v>431</v>
      </c>
      <c r="AA34" t="s">
        <v>431</v>
      </c>
      <c r="AB34" t="s">
        <v>621</v>
      </c>
      <c r="AC34" t="s">
        <v>622</v>
      </c>
      <c r="AD34" t="s">
        <v>623</v>
      </c>
      <c r="AE34" t="s">
        <v>624</v>
      </c>
      <c r="AF34">
        <v>270</v>
      </c>
      <c r="AG34">
        <v>30.74</v>
      </c>
      <c r="AH34" t="s">
        <v>443</v>
      </c>
      <c r="AI34" t="s">
        <v>138</v>
      </c>
      <c r="AJ34" t="s">
        <v>444</v>
      </c>
      <c r="AK34">
        <v>318</v>
      </c>
      <c r="AL34" t="s">
        <v>587</v>
      </c>
      <c r="AM34" t="s">
        <v>623</v>
      </c>
      <c r="AN34">
        <v>4</v>
      </c>
      <c r="AO34">
        <v>313</v>
      </c>
      <c r="AP34">
        <v>391</v>
      </c>
      <c r="AQ34">
        <v>366.37908496732001</v>
      </c>
      <c r="AR34">
        <v>153</v>
      </c>
      <c r="AS34">
        <v>152</v>
      </c>
      <c r="AT34">
        <v>0.96085409252668996</v>
      </c>
      <c r="AU34">
        <v>281</v>
      </c>
      <c r="AV34">
        <v>1.2064056939501799</v>
      </c>
      <c r="AW34">
        <v>0.96085409252668996</v>
      </c>
      <c r="AX34" t="s">
        <v>623</v>
      </c>
      <c r="AY34" t="s">
        <v>623</v>
      </c>
      <c r="AZ34">
        <v>4</v>
      </c>
      <c r="BA34" t="b">
        <v>1</v>
      </c>
      <c r="BB34" t="s">
        <v>625</v>
      </c>
    </row>
    <row r="35" spans="1:54" x14ac:dyDescent="0.2">
      <c r="A35">
        <v>41</v>
      </c>
      <c r="B35" t="s">
        <v>641</v>
      </c>
      <c r="C35">
        <v>360</v>
      </c>
      <c r="F35" t="s">
        <v>360</v>
      </c>
      <c r="I35" t="s">
        <v>626</v>
      </c>
      <c r="J35" s="6" t="s">
        <v>642</v>
      </c>
      <c r="K35">
        <v>279</v>
      </c>
      <c r="L35" t="s">
        <v>628</v>
      </c>
      <c r="M35" t="s">
        <v>427</v>
      </c>
      <c r="N35" t="s">
        <v>587</v>
      </c>
      <c r="O35" t="s">
        <v>629</v>
      </c>
      <c r="P35" t="s">
        <v>360</v>
      </c>
      <c r="Q35" t="s">
        <v>630</v>
      </c>
      <c r="R35" t="s">
        <v>431</v>
      </c>
      <c r="S35" t="s">
        <v>631</v>
      </c>
      <c r="T35" t="s">
        <v>592</v>
      </c>
      <c r="U35" t="s">
        <v>593</v>
      </c>
      <c r="V35" t="s">
        <v>431</v>
      </c>
      <c r="W35" t="s">
        <v>431</v>
      </c>
      <c r="X35" t="s">
        <v>594</v>
      </c>
      <c r="Y35" t="s">
        <v>431</v>
      </c>
      <c r="Z35" t="s">
        <v>431</v>
      </c>
      <c r="AA35" t="s">
        <v>431</v>
      </c>
      <c r="AB35" t="s">
        <v>632</v>
      </c>
      <c r="AC35" t="s">
        <v>633</v>
      </c>
      <c r="AD35" t="s">
        <v>634</v>
      </c>
      <c r="AE35" t="s">
        <v>635</v>
      </c>
      <c r="AF35">
        <v>558</v>
      </c>
      <c r="AG35">
        <v>23.84</v>
      </c>
      <c r="AH35" t="s">
        <v>443</v>
      </c>
      <c r="AI35" t="s">
        <v>138</v>
      </c>
      <c r="AJ35" t="s">
        <v>444</v>
      </c>
      <c r="AK35">
        <v>319</v>
      </c>
      <c r="AL35" t="s">
        <v>587</v>
      </c>
      <c r="AM35" t="s">
        <v>634</v>
      </c>
      <c r="AN35">
        <v>360</v>
      </c>
      <c r="AO35">
        <v>319</v>
      </c>
      <c r="AP35">
        <v>392</v>
      </c>
      <c r="AQ35">
        <v>367.95364238410599</v>
      </c>
      <c r="AR35">
        <v>154</v>
      </c>
      <c r="AS35">
        <v>152</v>
      </c>
      <c r="AT35">
        <v>0.99465240641711195</v>
      </c>
      <c r="AU35">
        <v>561</v>
      </c>
      <c r="AV35">
        <v>1.1176470588235301</v>
      </c>
      <c r="AW35">
        <v>0.83422459893048095</v>
      </c>
      <c r="AX35" t="s">
        <v>634</v>
      </c>
      <c r="AY35" t="s">
        <v>634</v>
      </c>
      <c r="AZ35" t="s">
        <v>636</v>
      </c>
      <c r="BA35" t="b">
        <v>1</v>
      </c>
      <c r="BB35" t="s">
        <v>637</v>
      </c>
    </row>
    <row r="36" spans="1:54" x14ac:dyDescent="0.2">
      <c r="A36">
        <v>42</v>
      </c>
      <c r="B36" t="s">
        <v>643</v>
      </c>
      <c r="C36">
        <v>2</v>
      </c>
      <c r="F36" t="s">
        <v>355</v>
      </c>
      <c r="I36" t="s">
        <v>644</v>
      </c>
      <c r="J36" s="6" t="s">
        <v>645</v>
      </c>
      <c r="K36">
        <v>646</v>
      </c>
      <c r="L36" t="s">
        <v>471</v>
      </c>
      <c r="M36" t="s">
        <v>427</v>
      </c>
      <c r="N36" t="s">
        <v>472</v>
      </c>
      <c r="O36" t="s">
        <v>473</v>
      </c>
      <c r="P36" t="s">
        <v>355</v>
      </c>
      <c r="Q36" t="s">
        <v>431</v>
      </c>
      <c r="R36" t="s">
        <v>474</v>
      </c>
      <c r="S36" t="s">
        <v>475</v>
      </c>
      <c r="T36" t="s">
        <v>431</v>
      </c>
      <c r="U36" t="s">
        <v>431</v>
      </c>
      <c r="V36" t="s">
        <v>431</v>
      </c>
      <c r="W36" t="s">
        <v>431</v>
      </c>
      <c r="X36" t="s">
        <v>476</v>
      </c>
      <c r="Y36" t="s">
        <v>431</v>
      </c>
      <c r="Z36" t="s">
        <v>431</v>
      </c>
      <c r="AA36" t="s">
        <v>431</v>
      </c>
      <c r="AB36" t="s">
        <v>477</v>
      </c>
      <c r="AC36" t="s">
        <v>478</v>
      </c>
      <c r="AD36" t="s">
        <v>479</v>
      </c>
      <c r="AE36" t="s">
        <v>480</v>
      </c>
      <c r="AF36">
        <v>1050</v>
      </c>
      <c r="AG36">
        <v>25.71</v>
      </c>
      <c r="AH36" t="s">
        <v>443</v>
      </c>
      <c r="AI36" t="s">
        <v>148</v>
      </c>
      <c r="AJ36" t="s">
        <v>444</v>
      </c>
      <c r="AK36">
        <v>332</v>
      </c>
      <c r="AL36" t="s">
        <v>472</v>
      </c>
      <c r="AM36" t="s">
        <v>479</v>
      </c>
      <c r="AN36">
        <v>2</v>
      </c>
      <c r="AO36">
        <v>274</v>
      </c>
      <c r="AP36">
        <v>339</v>
      </c>
      <c r="AQ36">
        <v>320.38961038961003</v>
      </c>
      <c r="AR36">
        <v>156</v>
      </c>
      <c r="AS36">
        <v>152</v>
      </c>
      <c r="AT36">
        <v>0.99408284023668603</v>
      </c>
      <c r="AU36">
        <v>1056.25</v>
      </c>
      <c r="AV36">
        <v>1.10485207100592</v>
      </c>
      <c r="AW36">
        <v>0.94011834319526599</v>
      </c>
      <c r="AX36" t="s">
        <v>479</v>
      </c>
      <c r="AY36" t="s">
        <v>479</v>
      </c>
      <c r="AZ36" t="s">
        <v>481</v>
      </c>
      <c r="BA36" t="b">
        <v>1</v>
      </c>
      <c r="BB36" t="s">
        <v>482</v>
      </c>
    </row>
    <row r="37" spans="1:54" x14ac:dyDescent="0.2">
      <c r="A37">
        <v>43</v>
      </c>
      <c r="B37" t="s">
        <v>646</v>
      </c>
      <c r="C37">
        <v>2</v>
      </c>
      <c r="F37" t="s">
        <v>355</v>
      </c>
      <c r="I37" t="s">
        <v>644</v>
      </c>
      <c r="J37" s="6" t="s">
        <v>645</v>
      </c>
      <c r="K37">
        <v>646</v>
      </c>
      <c r="L37" t="s">
        <v>471</v>
      </c>
      <c r="M37" t="s">
        <v>427</v>
      </c>
      <c r="N37" t="s">
        <v>472</v>
      </c>
      <c r="O37" t="s">
        <v>473</v>
      </c>
      <c r="P37" t="s">
        <v>355</v>
      </c>
      <c r="Q37" t="s">
        <v>431</v>
      </c>
      <c r="R37" t="s">
        <v>474</v>
      </c>
      <c r="S37" t="s">
        <v>475</v>
      </c>
      <c r="T37" t="s">
        <v>431</v>
      </c>
      <c r="U37" t="s">
        <v>431</v>
      </c>
      <c r="V37" t="s">
        <v>431</v>
      </c>
      <c r="W37" t="s">
        <v>431</v>
      </c>
      <c r="X37" t="s">
        <v>476</v>
      </c>
      <c r="Y37" t="s">
        <v>431</v>
      </c>
      <c r="Z37" t="s">
        <v>431</v>
      </c>
      <c r="AA37" t="s">
        <v>431</v>
      </c>
      <c r="AB37" t="s">
        <v>477</v>
      </c>
      <c r="AC37" t="s">
        <v>478</v>
      </c>
      <c r="AD37" t="s">
        <v>479</v>
      </c>
      <c r="AE37" t="s">
        <v>480</v>
      </c>
      <c r="AF37">
        <v>1050</v>
      </c>
      <c r="AG37">
        <v>25.71</v>
      </c>
      <c r="AH37" t="s">
        <v>443</v>
      </c>
      <c r="AI37" t="s">
        <v>148</v>
      </c>
      <c r="AJ37" t="s">
        <v>444</v>
      </c>
      <c r="AK37">
        <v>335</v>
      </c>
      <c r="AL37" t="s">
        <v>472</v>
      </c>
      <c r="AM37" t="s">
        <v>479</v>
      </c>
      <c r="AN37">
        <v>2</v>
      </c>
      <c r="AO37">
        <v>274</v>
      </c>
      <c r="AP37">
        <v>339</v>
      </c>
      <c r="AQ37">
        <v>320.38961038961003</v>
      </c>
      <c r="AR37">
        <v>156</v>
      </c>
      <c r="AS37">
        <v>152</v>
      </c>
      <c r="AT37">
        <v>0.99408284023668603</v>
      </c>
      <c r="AU37">
        <v>1056.25</v>
      </c>
      <c r="AV37">
        <v>1.10485207100592</v>
      </c>
      <c r="AW37">
        <v>0.94011834319526599</v>
      </c>
      <c r="AX37" t="s">
        <v>479</v>
      </c>
      <c r="AY37" t="s">
        <v>479</v>
      </c>
      <c r="AZ37" t="s">
        <v>481</v>
      </c>
      <c r="BA37" t="b">
        <v>1</v>
      </c>
      <c r="BB37" t="s">
        <v>482</v>
      </c>
    </row>
    <row r="38" spans="1:54" x14ac:dyDescent="0.2">
      <c r="A38">
        <v>16</v>
      </c>
      <c r="B38" t="s">
        <v>647</v>
      </c>
      <c r="C38">
        <v>473</v>
      </c>
      <c r="F38" t="s">
        <v>652</v>
      </c>
      <c r="I38" t="s">
        <v>648</v>
      </c>
      <c r="J38" s="6" t="s">
        <v>649</v>
      </c>
      <c r="K38">
        <v>77.8</v>
      </c>
      <c r="L38" t="s">
        <v>650</v>
      </c>
      <c r="M38" t="s">
        <v>427</v>
      </c>
      <c r="N38" t="s">
        <v>566</v>
      </c>
      <c r="O38" t="s">
        <v>651</v>
      </c>
      <c r="P38" t="s">
        <v>652</v>
      </c>
      <c r="Q38" t="s">
        <v>431</v>
      </c>
      <c r="R38" t="s">
        <v>431</v>
      </c>
      <c r="S38" t="s">
        <v>431</v>
      </c>
      <c r="T38" t="s">
        <v>431</v>
      </c>
      <c r="U38" t="s">
        <v>431</v>
      </c>
      <c r="V38" t="s">
        <v>431</v>
      </c>
      <c r="W38" t="s">
        <v>431</v>
      </c>
      <c r="X38" t="s">
        <v>431</v>
      </c>
      <c r="Y38" t="s">
        <v>431</v>
      </c>
      <c r="Z38" t="s">
        <v>431</v>
      </c>
      <c r="AA38" t="s">
        <v>431</v>
      </c>
      <c r="AB38" t="s">
        <v>653</v>
      </c>
      <c r="AC38" t="s">
        <v>654</v>
      </c>
      <c r="AD38" t="s">
        <v>655</v>
      </c>
      <c r="AE38" t="s">
        <v>656</v>
      </c>
      <c r="AF38">
        <v>150</v>
      </c>
      <c r="AG38">
        <v>20.67</v>
      </c>
      <c r="AH38" t="s">
        <v>443</v>
      </c>
      <c r="AI38" t="s">
        <v>267</v>
      </c>
      <c r="AJ38" t="s">
        <v>444</v>
      </c>
      <c r="AK38">
        <v>221</v>
      </c>
      <c r="AL38" t="s">
        <v>566</v>
      </c>
      <c r="AM38" t="s">
        <v>655</v>
      </c>
      <c r="AN38">
        <v>473</v>
      </c>
      <c r="AO38">
        <v>101</v>
      </c>
      <c r="AP38">
        <v>227</v>
      </c>
      <c r="AQ38">
        <v>212.30147058823499</v>
      </c>
      <c r="AR38">
        <v>137</v>
      </c>
      <c r="AS38">
        <v>136</v>
      </c>
      <c r="AT38">
        <v>0.88364293085655299</v>
      </c>
      <c r="AU38">
        <v>169.75182481751801</v>
      </c>
      <c r="AV38">
        <v>1.8556501547987601</v>
      </c>
      <c r="AW38">
        <v>0.72458720330237403</v>
      </c>
      <c r="AX38" t="s">
        <v>655</v>
      </c>
      <c r="AY38" t="s">
        <v>655</v>
      </c>
      <c r="AZ38" t="s">
        <v>657</v>
      </c>
      <c r="BA38" t="b">
        <v>0</v>
      </c>
      <c r="BB38" t="s">
        <v>658</v>
      </c>
    </row>
    <row r="39" spans="1:54" x14ac:dyDescent="0.2">
      <c r="A39">
        <v>17</v>
      </c>
      <c r="B39" t="s">
        <v>659</v>
      </c>
      <c r="C39">
        <v>652</v>
      </c>
      <c r="D39" t="s">
        <v>749</v>
      </c>
      <c r="E39" t="s">
        <v>750</v>
      </c>
      <c r="F39" t="s">
        <v>652</v>
      </c>
      <c r="H39" t="s">
        <v>751</v>
      </c>
      <c r="I39" t="s">
        <v>660</v>
      </c>
      <c r="J39" s="6" t="s">
        <v>661</v>
      </c>
      <c r="K39">
        <v>52</v>
      </c>
      <c r="L39" t="s">
        <v>650</v>
      </c>
      <c r="M39" t="s">
        <v>427</v>
      </c>
      <c r="N39" t="s">
        <v>566</v>
      </c>
      <c r="O39" t="s">
        <v>651</v>
      </c>
      <c r="P39" t="s">
        <v>652</v>
      </c>
      <c r="Q39" t="s">
        <v>431</v>
      </c>
      <c r="R39" t="s">
        <v>431</v>
      </c>
      <c r="S39" t="s">
        <v>431</v>
      </c>
      <c r="T39" t="s">
        <v>431</v>
      </c>
      <c r="U39" t="s">
        <v>431</v>
      </c>
      <c r="V39" t="s">
        <v>431</v>
      </c>
      <c r="W39" t="s">
        <v>431</v>
      </c>
      <c r="X39" t="s">
        <v>431</v>
      </c>
      <c r="Y39" t="s">
        <v>431</v>
      </c>
      <c r="Z39" t="s">
        <v>431</v>
      </c>
      <c r="AA39" t="s">
        <v>431</v>
      </c>
      <c r="AB39" t="s">
        <v>653</v>
      </c>
      <c r="AC39" t="s">
        <v>654</v>
      </c>
      <c r="AD39" t="s">
        <v>655</v>
      </c>
      <c r="AE39" t="s">
        <v>656</v>
      </c>
      <c r="AF39">
        <v>147</v>
      </c>
      <c r="AG39">
        <v>17.690000000000001</v>
      </c>
      <c r="AH39" t="s">
        <v>443</v>
      </c>
      <c r="AI39" t="s">
        <v>267</v>
      </c>
      <c r="AJ39" t="s">
        <v>444</v>
      </c>
      <c r="AK39">
        <v>222</v>
      </c>
      <c r="AL39" t="s">
        <v>566</v>
      </c>
      <c r="AM39" t="s">
        <v>655</v>
      </c>
      <c r="AN39">
        <v>652</v>
      </c>
      <c r="AO39">
        <v>222</v>
      </c>
      <c r="AP39">
        <v>222</v>
      </c>
      <c r="AQ39">
        <v>222</v>
      </c>
      <c r="AR39">
        <v>137</v>
      </c>
      <c r="AS39">
        <v>136</v>
      </c>
      <c r="AT39">
        <v>0.86597007223942202</v>
      </c>
      <c r="AU39">
        <v>169.75182481751801</v>
      </c>
      <c r="AV39">
        <v>1.8556501547987601</v>
      </c>
      <c r="AW39">
        <v>0.72458720330237403</v>
      </c>
      <c r="AX39" t="s">
        <v>655</v>
      </c>
      <c r="AY39" t="s">
        <v>655</v>
      </c>
      <c r="AZ39" t="s">
        <v>657</v>
      </c>
      <c r="BA39" t="b">
        <v>0</v>
      </c>
      <c r="BB39" t="s">
        <v>658</v>
      </c>
    </row>
    <row r="40" spans="1:54" x14ac:dyDescent="0.2">
      <c r="A40">
        <v>44</v>
      </c>
      <c r="B40" t="s">
        <v>662</v>
      </c>
      <c r="C40">
        <v>613</v>
      </c>
      <c r="F40" t="s">
        <v>431</v>
      </c>
      <c r="I40" t="s">
        <v>527</v>
      </c>
      <c r="J40" s="6" t="s">
        <v>663</v>
      </c>
      <c r="K40">
        <v>114</v>
      </c>
      <c r="L40" t="s">
        <v>529</v>
      </c>
      <c r="M40" t="s">
        <v>427</v>
      </c>
      <c r="N40" t="s">
        <v>530</v>
      </c>
      <c r="O40" t="s">
        <v>531</v>
      </c>
      <c r="P40" t="s">
        <v>431</v>
      </c>
      <c r="Q40" t="s">
        <v>431</v>
      </c>
      <c r="R40" t="s">
        <v>431</v>
      </c>
      <c r="S40" t="s">
        <v>431</v>
      </c>
      <c r="T40" t="s">
        <v>431</v>
      </c>
      <c r="U40" t="s">
        <v>431</v>
      </c>
      <c r="V40" t="s">
        <v>431</v>
      </c>
      <c r="W40" t="s">
        <v>431</v>
      </c>
      <c r="X40" t="s">
        <v>431</v>
      </c>
      <c r="Y40" t="s">
        <v>431</v>
      </c>
      <c r="Z40" t="s">
        <v>431</v>
      </c>
      <c r="AA40" t="s">
        <v>431</v>
      </c>
      <c r="AB40" t="s">
        <v>431</v>
      </c>
      <c r="AC40" t="s">
        <v>532</v>
      </c>
      <c r="AD40" t="s">
        <v>533</v>
      </c>
      <c r="AE40" t="s">
        <v>534</v>
      </c>
      <c r="AF40">
        <v>270</v>
      </c>
      <c r="AG40">
        <v>21.85</v>
      </c>
      <c r="AH40" t="s">
        <v>443</v>
      </c>
      <c r="AI40" t="s">
        <v>162</v>
      </c>
      <c r="AJ40" t="s">
        <v>444</v>
      </c>
      <c r="AK40">
        <v>46</v>
      </c>
      <c r="AL40" t="s">
        <v>530</v>
      </c>
      <c r="AM40" t="s">
        <v>533</v>
      </c>
      <c r="AN40">
        <v>613</v>
      </c>
      <c r="AO40">
        <v>46</v>
      </c>
      <c r="AP40">
        <v>46</v>
      </c>
      <c r="AQ40">
        <v>46</v>
      </c>
      <c r="AR40">
        <v>35</v>
      </c>
      <c r="AS40">
        <v>32</v>
      </c>
      <c r="AT40">
        <v>0.27204421798082701</v>
      </c>
      <c r="AU40">
        <v>992.48571428571404</v>
      </c>
      <c r="AV40">
        <v>1.1849037049831601</v>
      </c>
      <c r="AW40">
        <v>0.27204421798082701</v>
      </c>
      <c r="AX40" t="s">
        <v>533</v>
      </c>
      <c r="AY40" t="s">
        <v>533</v>
      </c>
      <c r="AZ40" t="s">
        <v>535</v>
      </c>
      <c r="BA40" t="b">
        <v>0</v>
      </c>
      <c r="BB40" t="s">
        <v>536</v>
      </c>
    </row>
    <row r="41" spans="1:54" x14ac:dyDescent="0.2">
      <c r="A41">
        <v>45</v>
      </c>
      <c r="B41" t="s">
        <v>664</v>
      </c>
      <c r="C41">
        <v>595</v>
      </c>
      <c r="F41" t="s">
        <v>431</v>
      </c>
      <c r="I41" t="s">
        <v>527</v>
      </c>
      <c r="J41" s="6" t="s">
        <v>665</v>
      </c>
      <c r="K41">
        <v>462</v>
      </c>
      <c r="L41" t="s">
        <v>529</v>
      </c>
      <c r="M41" t="s">
        <v>427</v>
      </c>
      <c r="N41" t="s">
        <v>530</v>
      </c>
      <c r="O41" t="s">
        <v>531</v>
      </c>
      <c r="P41" t="s">
        <v>431</v>
      </c>
      <c r="Q41" t="s">
        <v>431</v>
      </c>
      <c r="R41" t="s">
        <v>431</v>
      </c>
      <c r="S41" t="s">
        <v>431</v>
      </c>
      <c r="T41" t="s">
        <v>431</v>
      </c>
      <c r="U41" t="s">
        <v>431</v>
      </c>
      <c r="V41" t="s">
        <v>431</v>
      </c>
      <c r="W41" t="s">
        <v>431</v>
      </c>
      <c r="X41" t="s">
        <v>431</v>
      </c>
      <c r="Y41" t="s">
        <v>431</v>
      </c>
      <c r="Z41" t="s">
        <v>431</v>
      </c>
      <c r="AA41" t="s">
        <v>431</v>
      </c>
      <c r="AB41" t="s">
        <v>431</v>
      </c>
      <c r="AC41" t="s">
        <v>532</v>
      </c>
      <c r="AD41" t="s">
        <v>533</v>
      </c>
      <c r="AE41" t="s">
        <v>534</v>
      </c>
      <c r="AF41">
        <v>843</v>
      </c>
      <c r="AG41">
        <v>22.3</v>
      </c>
      <c r="AH41" t="s">
        <v>443</v>
      </c>
      <c r="AI41" t="s">
        <v>162</v>
      </c>
      <c r="AJ41" t="s">
        <v>444</v>
      </c>
      <c r="AK41">
        <v>47</v>
      </c>
      <c r="AL41" t="s">
        <v>530</v>
      </c>
      <c r="AM41" t="s">
        <v>533</v>
      </c>
      <c r="AN41">
        <v>595</v>
      </c>
      <c r="AO41">
        <v>46</v>
      </c>
      <c r="AP41">
        <v>48</v>
      </c>
      <c r="AQ41">
        <v>46.258064516128997</v>
      </c>
      <c r="AR41">
        <v>35</v>
      </c>
      <c r="AS41">
        <v>32</v>
      </c>
      <c r="AT41">
        <v>0.84938250280680505</v>
      </c>
      <c r="AU41">
        <v>992.48571428571404</v>
      </c>
      <c r="AV41">
        <v>1.1849037049831601</v>
      </c>
      <c r="AW41">
        <v>0.27204421798082701</v>
      </c>
      <c r="AX41" t="s">
        <v>533</v>
      </c>
      <c r="AY41" t="s">
        <v>533</v>
      </c>
      <c r="AZ41" t="s">
        <v>535</v>
      </c>
      <c r="BA41" t="b">
        <v>0</v>
      </c>
      <c r="BB41" t="s">
        <v>536</v>
      </c>
    </row>
    <row r="42" spans="1:54" x14ac:dyDescent="0.2">
      <c r="A42">
        <v>46</v>
      </c>
      <c r="B42" t="s">
        <v>350</v>
      </c>
      <c r="C42">
        <v>699</v>
      </c>
      <c r="F42" t="s">
        <v>670</v>
      </c>
      <c r="I42" t="s">
        <v>666</v>
      </c>
      <c r="J42" s="6" t="s">
        <v>667</v>
      </c>
      <c r="K42">
        <v>731</v>
      </c>
      <c r="L42" t="s">
        <v>668</v>
      </c>
      <c r="M42" t="s">
        <v>427</v>
      </c>
      <c r="N42" t="s">
        <v>428</v>
      </c>
      <c r="O42" t="s">
        <v>669</v>
      </c>
      <c r="P42" t="s">
        <v>670</v>
      </c>
      <c r="Q42" t="s">
        <v>671</v>
      </c>
      <c r="R42" t="s">
        <v>672</v>
      </c>
      <c r="S42" t="s">
        <v>673</v>
      </c>
      <c r="T42" t="s">
        <v>674</v>
      </c>
      <c r="U42" t="s">
        <v>431</v>
      </c>
      <c r="V42" t="s">
        <v>675</v>
      </c>
      <c r="W42" t="s">
        <v>676</v>
      </c>
      <c r="X42" t="s">
        <v>677</v>
      </c>
      <c r="Y42" t="s">
        <v>431</v>
      </c>
      <c r="Z42" t="s">
        <v>431</v>
      </c>
      <c r="AA42" t="s">
        <v>431</v>
      </c>
      <c r="AB42" t="s">
        <v>678</v>
      </c>
      <c r="AC42" t="s">
        <v>679</v>
      </c>
      <c r="AD42" t="s">
        <v>680</v>
      </c>
      <c r="AE42" t="s">
        <v>681</v>
      </c>
      <c r="AF42">
        <v>1725</v>
      </c>
      <c r="AG42">
        <v>30.2</v>
      </c>
      <c r="AH42" t="s">
        <v>443</v>
      </c>
      <c r="AI42" t="s">
        <v>160</v>
      </c>
      <c r="AJ42" t="s">
        <v>444</v>
      </c>
      <c r="AK42">
        <v>179</v>
      </c>
      <c r="AL42" t="s">
        <v>428</v>
      </c>
      <c r="AM42" t="s">
        <v>680</v>
      </c>
      <c r="AN42">
        <v>699</v>
      </c>
      <c r="AO42">
        <v>179</v>
      </c>
      <c r="AP42">
        <v>179</v>
      </c>
      <c r="AQ42">
        <v>179</v>
      </c>
      <c r="AR42">
        <v>153</v>
      </c>
      <c r="AS42">
        <v>152</v>
      </c>
      <c r="AT42">
        <v>1.14308174057664</v>
      </c>
      <c r="AU42">
        <v>1509.0784313725501</v>
      </c>
      <c r="AV42">
        <v>1.14308174057664</v>
      </c>
      <c r="AW42">
        <v>0.97211647155126502</v>
      </c>
      <c r="AX42" t="s">
        <v>680</v>
      </c>
      <c r="AY42" t="s">
        <v>680</v>
      </c>
      <c r="AZ42" t="s">
        <v>682</v>
      </c>
      <c r="BA42" t="b">
        <v>1</v>
      </c>
      <c r="BB42" t="s">
        <v>683</v>
      </c>
    </row>
    <row r="43" spans="1:54" x14ac:dyDescent="0.2">
      <c r="A43">
        <v>47</v>
      </c>
      <c r="B43" t="s">
        <v>684</v>
      </c>
      <c r="C43">
        <v>137</v>
      </c>
      <c r="F43" t="s">
        <v>670</v>
      </c>
      <c r="I43" t="s">
        <v>666</v>
      </c>
      <c r="J43">
        <v>0</v>
      </c>
      <c r="K43">
        <v>946</v>
      </c>
      <c r="L43" t="s">
        <v>668</v>
      </c>
      <c r="M43" t="s">
        <v>427</v>
      </c>
      <c r="N43" t="s">
        <v>428</v>
      </c>
      <c r="O43" t="s">
        <v>669</v>
      </c>
      <c r="P43" t="s">
        <v>670</v>
      </c>
      <c r="Q43" t="s">
        <v>671</v>
      </c>
      <c r="R43" t="s">
        <v>672</v>
      </c>
      <c r="S43" t="s">
        <v>673</v>
      </c>
      <c r="T43" t="s">
        <v>674</v>
      </c>
      <c r="U43" t="s">
        <v>431</v>
      </c>
      <c r="V43" t="s">
        <v>675</v>
      </c>
      <c r="W43" t="s">
        <v>676</v>
      </c>
      <c r="X43" t="s">
        <v>677</v>
      </c>
      <c r="Y43" t="s">
        <v>431</v>
      </c>
      <c r="Z43" t="s">
        <v>431</v>
      </c>
      <c r="AA43" t="s">
        <v>431</v>
      </c>
      <c r="AB43" t="s">
        <v>678</v>
      </c>
      <c r="AC43" t="s">
        <v>679</v>
      </c>
      <c r="AD43" t="s">
        <v>680</v>
      </c>
      <c r="AE43" t="s">
        <v>681</v>
      </c>
      <c r="AF43">
        <v>1518</v>
      </c>
      <c r="AG43">
        <v>31.95</v>
      </c>
      <c r="AH43" t="s">
        <v>443</v>
      </c>
      <c r="AI43" t="s">
        <v>160</v>
      </c>
      <c r="AJ43" t="s">
        <v>444</v>
      </c>
      <c r="AK43">
        <v>180</v>
      </c>
      <c r="AL43" t="s">
        <v>428</v>
      </c>
      <c r="AM43" t="s">
        <v>680</v>
      </c>
      <c r="AN43">
        <v>137</v>
      </c>
      <c r="AO43">
        <v>143</v>
      </c>
      <c r="AP43">
        <v>184</v>
      </c>
      <c r="AQ43">
        <v>173.27631578947401</v>
      </c>
      <c r="AR43">
        <v>153</v>
      </c>
      <c r="AS43">
        <v>152</v>
      </c>
      <c r="AT43">
        <v>1.0059119317074401</v>
      </c>
      <c r="AU43">
        <v>1509.0784313725501</v>
      </c>
      <c r="AV43">
        <v>1.14308174057664</v>
      </c>
      <c r="AW43">
        <v>0.97211647155126502</v>
      </c>
      <c r="AX43" t="s">
        <v>680</v>
      </c>
      <c r="AY43" t="s">
        <v>680</v>
      </c>
      <c r="AZ43" t="s">
        <v>682</v>
      </c>
      <c r="BA43" t="b">
        <v>1</v>
      </c>
      <c r="BB43" t="s">
        <v>683</v>
      </c>
    </row>
    <row r="44" spans="1:54" x14ac:dyDescent="0.2">
      <c r="A44">
        <v>48</v>
      </c>
      <c r="B44" t="s">
        <v>685</v>
      </c>
      <c r="C44">
        <v>614</v>
      </c>
      <c r="F44" t="s">
        <v>691</v>
      </c>
      <c r="I44" t="s">
        <v>686</v>
      </c>
      <c r="J44" s="6" t="s">
        <v>687</v>
      </c>
      <c r="K44">
        <v>597</v>
      </c>
      <c r="L44" t="s">
        <v>688</v>
      </c>
      <c r="M44" t="s">
        <v>427</v>
      </c>
      <c r="N44" t="s">
        <v>689</v>
      </c>
      <c r="O44" t="s">
        <v>690</v>
      </c>
      <c r="P44" t="s">
        <v>691</v>
      </c>
      <c r="Q44" t="s">
        <v>431</v>
      </c>
      <c r="R44" t="s">
        <v>692</v>
      </c>
      <c r="S44" t="s">
        <v>693</v>
      </c>
      <c r="T44" t="s">
        <v>694</v>
      </c>
      <c r="U44" t="s">
        <v>695</v>
      </c>
      <c r="V44" t="s">
        <v>696</v>
      </c>
      <c r="W44" t="s">
        <v>697</v>
      </c>
      <c r="X44" t="s">
        <v>698</v>
      </c>
      <c r="Y44" t="s">
        <v>431</v>
      </c>
      <c r="Z44" t="s">
        <v>431</v>
      </c>
      <c r="AA44" t="s">
        <v>431</v>
      </c>
      <c r="AB44" t="s">
        <v>699</v>
      </c>
      <c r="AC44" t="s">
        <v>700</v>
      </c>
      <c r="AD44" t="s">
        <v>701</v>
      </c>
      <c r="AE44" t="s">
        <v>702</v>
      </c>
      <c r="AF44">
        <v>1995</v>
      </c>
      <c r="AG44">
        <v>26.87</v>
      </c>
      <c r="AH44" t="s">
        <v>443</v>
      </c>
      <c r="AI44" t="s">
        <v>163</v>
      </c>
      <c r="AJ44" t="s">
        <v>444</v>
      </c>
      <c r="AK44">
        <v>51</v>
      </c>
      <c r="AL44" t="s">
        <v>689</v>
      </c>
      <c r="AM44" t="s">
        <v>701</v>
      </c>
      <c r="AN44">
        <v>614</v>
      </c>
      <c r="AO44">
        <v>50</v>
      </c>
      <c r="AP44">
        <v>51</v>
      </c>
      <c r="AQ44">
        <v>50.3333333333333</v>
      </c>
      <c r="AR44">
        <v>151</v>
      </c>
      <c r="AS44">
        <v>150</v>
      </c>
      <c r="AT44">
        <v>1.34774380586798</v>
      </c>
      <c r="AU44">
        <v>1480.25165562914</v>
      </c>
      <c r="AV44">
        <v>1.34774380586798</v>
      </c>
      <c r="AW44">
        <v>0.51275065095428596</v>
      </c>
      <c r="AX44" t="s">
        <v>701</v>
      </c>
      <c r="AY44" t="s">
        <v>701</v>
      </c>
      <c r="AZ44" t="s">
        <v>703</v>
      </c>
      <c r="BA44" t="b">
        <v>0</v>
      </c>
      <c r="BB44" t="s">
        <v>704</v>
      </c>
    </row>
    <row r="45" spans="1:54" x14ac:dyDescent="0.2">
      <c r="A45">
        <v>49</v>
      </c>
      <c r="B45" t="s">
        <v>705</v>
      </c>
      <c r="C45">
        <v>427</v>
      </c>
      <c r="F45" t="s">
        <v>691</v>
      </c>
      <c r="I45" t="s">
        <v>686</v>
      </c>
      <c r="J45" s="6" t="s">
        <v>706</v>
      </c>
      <c r="K45">
        <v>801</v>
      </c>
      <c r="L45" t="s">
        <v>688</v>
      </c>
      <c r="M45" t="s">
        <v>427</v>
      </c>
      <c r="N45" t="s">
        <v>689</v>
      </c>
      <c r="O45" t="s">
        <v>690</v>
      </c>
      <c r="P45" t="s">
        <v>691</v>
      </c>
      <c r="Q45" t="s">
        <v>431</v>
      </c>
      <c r="R45" t="s">
        <v>692</v>
      </c>
      <c r="S45" t="s">
        <v>693</v>
      </c>
      <c r="T45" t="s">
        <v>694</v>
      </c>
      <c r="U45" t="s">
        <v>695</v>
      </c>
      <c r="V45" t="s">
        <v>696</v>
      </c>
      <c r="W45" t="s">
        <v>697</v>
      </c>
      <c r="X45" t="s">
        <v>698</v>
      </c>
      <c r="Y45" t="s">
        <v>431</v>
      </c>
      <c r="Z45" t="s">
        <v>431</v>
      </c>
      <c r="AA45" t="s">
        <v>431</v>
      </c>
      <c r="AB45" t="s">
        <v>699</v>
      </c>
      <c r="AC45" t="s">
        <v>700</v>
      </c>
      <c r="AD45" t="s">
        <v>701</v>
      </c>
      <c r="AE45" t="s">
        <v>702</v>
      </c>
      <c r="AF45">
        <v>1569</v>
      </c>
      <c r="AG45">
        <v>24.47</v>
      </c>
      <c r="AH45" t="s">
        <v>443</v>
      </c>
      <c r="AI45" t="s">
        <v>163</v>
      </c>
      <c r="AJ45" t="s">
        <v>444</v>
      </c>
      <c r="AK45">
        <v>52</v>
      </c>
      <c r="AL45" t="s">
        <v>689</v>
      </c>
      <c r="AM45" t="s">
        <v>701</v>
      </c>
      <c r="AN45">
        <v>427</v>
      </c>
      <c r="AO45">
        <v>37</v>
      </c>
      <c r="AP45">
        <v>55</v>
      </c>
      <c r="AQ45">
        <v>47.243243243243199</v>
      </c>
      <c r="AR45">
        <v>151</v>
      </c>
      <c r="AS45">
        <v>150</v>
      </c>
      <c r="AT45">
        <v>1.0599549029608399</v>
      </c>
      <c r="AU45">
        <v>1480.25165562914</v>
      </c>
      <c r="AV45">
        <v>1.34774380586798</v>
      </c>
      <c r="AW45">
        <v>0.51275065095428596</v>
      </c>
      <c r="AX45" t="s">
        <v>701</v>
      </c>
      <c r="AY45" t="s">
        <v>701</v>
      </c>
      <c r="AZ45" t="s">
        <v>703</v>
      </c>
      <c r="BA45" t="b">
        <v>0</v>
      </c>
      <c r="BB45" t="s">
        <v>704</v>
      </c>
    </row>
    <row r="46" spans="1:54" x14ac:dyDescent="0.2">
      <c r="A46">
        <v>50</v>
      </c>
      <c r="B46" t="s">
        <v>707</v>
      </c>
      <c r="C46">
        <v>504</v>
      </c>
      <c r="F46" t="s">
        <v>712</v>
      </c>
      <c r="I46" t="s">
        <v>708</v>
      </c>
      <c r="J46" s="6" t="s">
        <v>709</v>
      </c>
      <c r="K46">
        <v>220</v>
      </c>
      <c r="L46" t="s">
        <v>710</v>
      </c>
      <c r="M46" t="s">
        <v>427</v>
      </c>
      <c r="N46" t="s">
        <v>587</v>
      </c>
      <c r="O46" t="s">
        <v>711</v>
      </c>
      <c r="P46" t="s">
        <v>712</v>
      </c>
      <c r="Q46" t="s">
        <v>431</v>
      </c>
      <c r="R46" t="s">
        <v>713</v>
      </c>
      <c r="S46" t="s">
        <v>714</v>
      </c>
      <c r="T46" t="s">
        <v>431</v>
      </c>
      <c r="U46" t="s">
        <v>431</v>
      </c>
      <c r="V46" t="s">
        <v>715</v>
      </c>
      <c r="W46" t="s">
        <v>716</v>
      </c>
      <c r="X46" t="s">
        <v>717</v>
      </c>
      <c r="Y46" t="s">
        <v>431</v>
      </c>
      <c r="Z46" t="s">
        <v>431</v>
      </c>
      <c r="AA46" t="s">
        <v>431</v>
      </c>
      <c r="AB46" t="s">
        <v>718</v>
      </c>
      <c r="AC46" t="s">
        <v>719</v>
      </c>
      <c r="AD46" t="s">
        <v>720</v>
      </c>
      <c r="AE46" t="s">
        <v>721</v>
      </c>
      <c r="AF46">
        <v>387</v>
      </c>
      <c r="AG46">
        <v>24.55</v>
      </c>
      <c r="AH46" t="s">
        <v>443</v>
      </c>
      <c r="AI46" t="s">
        <v>169</v>
      </c>
      <c r="AJ46" t="s">
        <v>444</v>
      </c>
      <c r="AK46">
        <v>16</v>
      </c>
      <c r="AL46" t="s">
        <v>587</v>
      </c>
      <c r="AM46" t="s">
        <v>720</v>
      </c>
      <c r="AN46">
        <v>504</v>
      </c>
      <c r="AO46">
        <v>14</v>
      </c>
      <c r="AP46">
        <v>18</v>
      </c>
      <c r="AQ46">
        <v>15.5703125</v>
      </c>
      <c r="AR46">
        <v>128</v>
      </c>
      <c r="AS46">
        <v>127</v>
      </c>
      <c r="AT46">
        <v>0.98455667521316603</v>
      </c>
      <c r="AU46">
        <v>393.0703125</v>
      </c>
      <c r="AV46">
        <v>1.14483334327112</v>
      </c>
      <c r="AW46">
        <v>0.90060223003994999</v>
      </c>
      <c r="AX46" t="s">
        <v>720</v>
      </c>
      <c r="AY46" t="s">
        <v>720</v>
      </c>
      <c r="AZ46">
        <v>504</v>
      </c>
      <c r="BA46" t="b">
        <v>0</v>
      </c>
      <c r="BB46" t="s">
        <v>722</v>
      </c>
    </row>
    <row r="47" spans="1:54" x14ac:dyDescent="0.2">
      <c r="A47">
        <v>51</v>
      </c>
      <c r="B47" t="s">
        <v>723</v>
      </c>
      <c r="C47">
        <v>623</v>
      </c>
      <c r="F47" t="s">
        <v>431</v>
      </c>
      <c r="I47" t="s">
        <v>724</v>
      </c>
      <c r="J47" s="6" t="s">
        <v>725</v>
      </c>
      <c r="K47">
        <v>394</v>
      </c>
      <c r="L47" t="s">
        <v>726</v>
      </c>
      <c r="M47" t="s">
        <v>427</v>
      </c>
      <c r="N47" t="s">
        <v>727</v>
      </c>
      <c r="O47" t="s">
        <v>728</v>
      </c>
      <c r="P47" t="s">
        <v>431</v>
      </c>
      <c r="Q47" t="s">
        <v>431</v>
      </c>
      <c r="R47" t="s">
        <v>431</v>
      </c>
      <c r="S47" t="s">
        <v>431</v>
      </c>
      <c r="T47" t="s">
        <v>431</v>
      </c>
      <c r="U47" t="s">
        <v>431</v>
      </c>
      <c r="V47" t="s">
        <v>431</v>
      </c>
      <c r="W47" t="s">
        <v>431</v>
      </c>
      <c r="X47" t="s">
        <v>431</v>
      </c>
      <c r="Y47" t="s">
        <v>431</v>
      </c>
      <c r="Z47" t="s">
        <v>431</v>
      </c>
      <c r="AA47" t="s">
        <v>431</v>
      </c>
      <c r="AB47" t="s">
        <v>729</v>
      </c>
      <c r="AC47" t="s">
        <v>730</v>
      </c>
      <c r="AD47" t="s">
        <v>731</v>
      </c>
      <c r="AE47" t="s">
        <v>732</v>
      </c>
      <c r="AF47">
        <v>1113</v>
      </c>
      <c r="AG47">
        <v>19.68</v>
      </c>
      <c r="AH47" t="s">
        <v>443</v>
      </c>
      <c r="AI47" t="s">
        <v>169</v>
      </c>
      <c r="AJ47" t="s">
        <v>444</v>
      </c>
      <c r="AK47">
        <v>17</v>
      </c>
      <c r="AL47" t="s">
        <v>727</v>
      </c>
      <c r="AM47" t="s">
        <v>731</v>
      </c>
      <c r="AN47">
        <v>623</v>
      </c>
      <c r="AO47">
        <v>15</v>
      </c>
      <c r="AP47">
        <v>17</v>
      </c>
      <c r="AQ47">
        <v>16</v>
      </c>
      <c r="AR47">
        <v>100</v>
      </c>
      <c r="AS47">
        <v>99</v>
      </c>
      <c r="AT47">
        <v>0.67769983925179</v>
      </c>
      <c r="AU47">
        <v>1642.32</v>
      </c>
      <c r="AV47">
        <v>1.0704369428613201</v>
      </c>
      <c r="AW47">
        <v>0.67769983925179</v>
      </c>
      <c r="AX47" t="s">
        <v>731</v>
      </c>
      <c r="AY47" t="s">
        <v>731</v>
      </c>
      <c r="AZ47" t="s">
        <v>733</v>
      </c>
      <c r="BA47" t="b">
        <v>0</v>
      </c>
      <c r="BB47" t="s">
        <v>734</v>
      </c>
    </row>
    <row r="48" spans="1:54" x14ac:dyDescent="0.2">
      <c r="A48">
        <v>52</v>
      </c>
      <c r="B48" t="s">
        <v>735</v>
      </c>
      <c r="C48">
        <v>504</v>
      </c>
      <c r="F48" t="s">
        <v>712</v>
      </c>
      <c r="I48" t="s">
        <v>708</v>
      </c>
      <c r="J48" s="6" t="s">
        <v>709</v>
      </c>
      <c r="K48">
        <v>220</v>
      </c>
      <c r="L48" t="s">
        <v>710</v>
      </c>
      <c r="M48" t="s">
        <v>427</v>
      </c>
      <c r="N48" t="s">
        <v>587</v>
      </c>
      <c r="O48" t="s">
        <v>711</v>
      </c>
      <c r="P48" t="s">
        <v>712</v>
      </c>
      <c r="Q48" t="s">
        <v>431</v>
      </c>
      <c r="R48" t="s">
        <v>713</v>
      </c>
      <c r="S48" t="s">
        <v>714</v>
      </c>
      <c r="T48" t="s">
        <v>431</v>
      </c>
      <c r="U48" t="s">
        <v>431</v>
      </c>
      <c r="V48" t="s">
        <v>715</v>
      </c>
      <c r="W48" t="s">
        <v>716</v>
      </c>
      <c r="X48" t="s">
        <v>717</v>
      </c>
      <c r="Y48" t="s">
        <v>431</v>
      </c>
      <c r="Z48" t="s">
        <v>431</v>
      </c>
      <c r="AA48" t="s">
        <v>431</v>
      </c>
      <c r="AB48" t="s">
        <v>718</v>
      </c>
      <c r="AC48" t="s">
        <v>719</v>
      </c>
      <c r="AD48" t="s">
        <v>720</v>
      </c>
      <c r="AE48" t="s">
        <v>721</v>
      </c>
      <c r="AF48">
        <v>387</v>
      </c>
      <c r="AG48">
        <v>24.55</v>
      </c>
      <c r="AH48" t="s">
        <v>443</v>
      </c>
      <c r="AI48" t="s">
        <v>169</v>
      </c>
      <c r="AJ48" t="s">
        <v>444</v>
      </c>
      <c r="AK48">
        <v>18</v>
      </c>
      <c r="AL48" t="s">
        <v>587</v>
      </c>
      <c r="AM48" t="s">
        <v>720</v>
      </c>
      <c r="AN48">
        <v>504</v>
      </c>
      <c r="AO48">
        <v>14</v>
      </c>
      <c r="AP48">
        <v>18</v>
      </c>
      <c r="AQ48">
        <v>15.5703125</v>
      </c>
      <c r="AR48">
        <v>128</v>
      </c>
      <c r="AS48">
        <v>127</v>
      </c>
      <c r="AT48">
        <v>0.98455667521316603</v>
      </c>
      <c r="AU48">
        <v>393.0703125</v>
      </c>
      <c r="AV48">
        <v>1.14483334327112</v>
      </c>
      <c r="AW48">
        <v>0.90060223003994999</v>
      </c>
      <c r="AX48" t="s">
        <v>720</v>
      </c>
      <c r="AY48" t="s">
        <v>720</v>
      </c>
      <c r="AZ48">
        <v>504</v>
      </c>
      <c r="BA48" t="b">
        <v>0</v>
      </c>
      <c r="BB48" t="s">
        <v>722</v>
      </c>
    </row>
    <row r="49" spans="1:54" x14ac:dyDescent="0.2">
      <c r="A49">
        <v>53</v>
      </c>
      <c r="B49" t="s">
        <v>736</v>
      </c>
      <c r="C49">
        <v>556</v>
      </c>
      <c r="F49" t="s">
        <v>431</v>
      </c>
      <c r="I49" t="s">
        <v>724</v>
      </c>
      <c r="J49" s="6" t="s">
        <v>737</v>
      </c>
      <c r="K49">
        <v>614</v>
      </c>
      <c r="L49" t="s">
        <v>726</v>
      </c>
      <c r="M49" t="s">
        <v>427</v>
      </c>
      <c r="N49" t="s">
        <v>727</v>
      </c>
      <c r="O49" t="s">
        <v>728</v>
      </c>
      <c r="P49" t="s">
        <v>431</v>
      </c>
      <c r="Q49" t="s">
        <v>431</v>
      </c>
      <c r="R49" t="s">
        <v>431</v>
      </c>
      <c r="S49" t="s">
        <v>431</v>
      </c>
      <c r="T49" t="s">
        <v>431</v>
      </c>
      <c r="U49" t="s">
        <v>431</v>
      </c>
      <c r="V49" t="s">
        <v>431</v>
      </c>
      <c r="W49" t="s">
        <v>431</v>
      </c>
      <c r="X49" t="s">
        <v>431</v>
      </c>
      <c r="Y49" t="s">
        <v>431</v>
      </c>
      <c r="Z49" t="s">
        <v>431</v>
      </c>
      <c r="AA49" t="s">
        <v>431</v>
      </c>
      <c r="AB49" t="s">
        <v>729</v>
      </c>
      <c r="AC49" t="s">
        <v>730</v>
      </c>
      <c r="AD49" t="s">
        <v>731</v>
      </c>
      <c r="AE49" t="s">
        <v>732</v>
      </c>
      <c r="AF49">
        <v>1647</v>
      </c>
      <c r="AG49">
        <v>19.79</v>
      </c>
      <c r="AH49" t="s">
        <v>443</v>
      </c>
      <c r="AI49" t="s">
        <v>169</v>
      </c>
      <c r="AJ49" t="s">
        <v>444</v>
      </c>
      <c r="AK49">
        <v>19</v>
      </c>
      <c r="AL49" t="s">
        <v>727</v>
      </c>
      <c r="AM49" t="s">
        <v>731</v>
      </c>
      <c r="AN49">
        <v>556</v>
      </c>
      <c r="AO49">
        <v>13</v>
      </c>
      <c r="AP49">
        <v>19</v>
      </c>
      <c r="AQ49">
        <v>16.612244897959201</v>
      </c>
      <c r="AR49">
        <v>100</v>
      </c>
      <c r="AS49">
        <v>99</v>
      </c>
      <c r="AT49">
        <v>1.00284962735642</v>
      </c>
      <c r="AU49">
        <v>1642.32</v>
      </c>
      <c r="AV49">
        <v>1.0704369428613201</v>
      </c>
      <c r="AW49">
        <v>0.67769983925179</v>
      </c>
      <c r="AX49" t="s">
        <v>731</v>
      </c>
      <c r="AY49" t="s">
        <v>731</v>
      </c>
      <c r="AZ49" t="s">
        <v>733</v>
      </c>
      <c r="BA49" t="b">
        <v>0</v>
      </c>
      <c r="BB49" t="s">
        <v>734</v>
      </c>
    </row>
    <row r="50" spans="1:54" x14ac:dyDescent="0.2">
      <c r="A50">
        <v>54</v>
      </c>
      <c r="B50" t="s">
        <v>738</v>
      </c>
      <c r="C50">
        <v>390</v>
      </c>
      <c r="F50" t="s">
        <v>430</v>
      </c>
      <c r="I50" t="s">
        <v>739</v>
      </c>
      <c r="J50">
        <v>0</v>
      </c>
      <c r="K50">
        <v>1157</v>
      </c>
      <c r="L50" t="s">
        <v>426</v>
      </c>
      <c r="M50" t="s">
        <v>427</v>
      </c>
      <c r="N50" t="s">
        <v>428</v>
      </c>
      <c r="O50" t="s">
        <v>429</v>
      </c>
      <c r="P50" t="s">
        <v>430</v>
      </c>
      <c r="Q50" t="s">
        <v>431</v>
      </c>
      <c r="R50" t="s">
        <v>432</v>
      </c>
      <c r="S50" t="s">
        <v>433</v>
      </c>
      <c r="T50" t="s">
        <v>434</v>
      </c>
      <c r="U50" t="s">
        <v>435</v>
      </c>
      <c r="V50" t="s">
        <v>436</v>
      </c>
      <c r="W50" t="s">
        <v>437</v>
      </c>
      <c r="X50" t="s">
        <v>438</v>
      </c>
      <c r="Y50" t="s">
        <v>431</v>
      </c>
      <c r="Z50" t="s">
        <v>431</v>
      </c>
      <c r="AA50" t="s">
        <v>431</v>
      </c>
      <c r="AB50" t="s">
        <v>439</v>
      </c>
      <c r="AC50" t="s">
        <v>440</v>
      </c>
      <c r="AD50" t="s">
        <v>441</v>
      </c>
      <c r="AE50" t="s">
        <v>442</v>
      </c>
      <c r="AF50">
        <v>1716</v>
      </c>
      <c r="AG50">
        <v>31.88</v>
      </c>
      <c r="AH50" t="s">
        <v>443</v>
      </c>
      <c r="AI50" t="s">
        <v>170</v>
      </c>
      <c r="AJ50" t="s">
        <v>444</v>
      </c>
      <c r="AK50">
        <v>328</v>
      </c>
      <c r="AL50" t="s">
        <v>428</v>
      </c>
      <c r="AM50" t="s">
        <v>441</v>
      </c>
      <c r="AN50">
        <v>390</v>
      </c>
      <c r="AO50">
        <v>268</v>
      </c>
      <c r="AP50">
        <v>333</v>
      </c>
      <c r="AQ50">
        <v>314.44078947368399</v>
      </c>
      <c r="AR50">
        <v>155</v>
      </c>
      <c r="AS50">
        <v>151</v>
      </c>
      <c r="AT50">
        <v>0.99325580874280195</v>
      </c>
      <c r="AU50">
        <v>1727.65161290323</v>
      </c>
      <c r="AV50">
        <v>2.3199121686719999</v>
      </c>
      <c r="AW50">
        <v>0.72757724451614303</v>
      </c>
      <c r="AX50" t="s">
        <v>441</v>
      </c>
      <c r="AY50" t="s">
        <v>441</v>
      </c>
      <c r="AZ50" t="s">
        <v>445</v>
      </c>
      <c r="BA50" t="b">
        <v>0</v>
      </c>
      <c r="BB50" t="s">
        <v>446</v>
      </c>
    </row>
    <row r="51" spans="1:54" x14ac:dyDescent="0.2">
      <c r="A51">
        <v>55</v>
      </c>
      <c r="B51" t="s">
        <v>740</v>
      </c>
      <c r="C51">
        <v>681</v>
      </c>
      <c r="F51" t="s">
        <v>430</v>
      </c>
      <c r="I51" t="s">
        <v>739</v>
      </c>
      <c r="J51" s="6" t="s">
        <v>741</v>
      </c>
      <c r="K51">
        <v>841</v>
      </c>
      <c r="L51" t="s">
        <v>426</v>
      </c>
      <c r="M51" t="s">
        <v>427</v>
      </c>
      <c r="N51" t="s">
        <v>428</v>
      </c>
      <c r="O51" t="s">
        <v>429</v>
      </c>
      <c r="P51" t="s">
        <v>430</v>
      </c>
      <c r="Q51" t="s">
        <v>431</v>
      </c>
      <c r="R51" t="s">
        <v>432</v>
      </c>
      <c r="S51" t="s">
        <v>433</v>
      </c>
      <c r="T51" t="s">
        <v>434</v>
      </c>
      <c r="U51" t="s">
        <v>435</v>
      </c>
      <c r="V51" t="s">
        <v>436</v>
      </c>
      <c r="W51" t="s">
        <v>437</v>
      </c>
      <c r="X51" t="s">
        <v>438</v>
      </c>
      <c r="Y51" t="s">
        <v>431</v>
      </c>
      <c r="Z51" t="s">
        <v>431</v>
      </c>
      <c r="AA51" t="s">
        <v>431</v>
      </c>
      <c r="AB51" t="s">
        <v>439</v>
      </c>
      <c r="AC51" t="s">
        <v>440</v>
      </c>
      <c r="AD51" t="s">
        <v>441</v>
      </c>
      <c r="AE51" t="s">
        <v>442</v>
      </c>
      <c r="AF51">
        <v>1257</v>
      </c>
      <c r="AG51">
        <v>31.19</v>
      </c>
      <c r="AH51" t="s">
        <v>443</v>
      </c>
      <c r="AI51" t="s">
        <v>170</v>
      </c>
      <c r="AJ51" t="s">
        <v>444</v>
      </c>
      <c r="AK51">
        <v>330</v>
      </c>
      <c r="AL51" t="s">
        <v>428</v>
      </c>
      <c r="AM51" t="s">
        <v>441</v>
      </c>
      <c r="AN51">
        <v>681</v>
      </c>
      <c r="AO51">
        <v>330</v>
      </c>
      <c r="AP51">
        <v>330</v>
      </c>
      <c r="AQ51">
        <v>330</v>
      </c>
      <c r="AR51">
        <v>155</v>
      </c>
      <c r="AS51">
        <v>151</v>
      </c>
      <c r="AT51">
        <v>0.72757724451614303</v>
      </c>
      <c r="AU51">
        <v>1727.65161290323</v>
      </c>
      <c r="AV51">
        <v>2.3199121686719999</v>
      </c>
      <c r="AW51">
        <v>0.72757724451614303</v>
      </c>
      <c r="AX51" t="s">
        <v>441</v>
      </c>
      <c r="AY51" t="s">
        <v>441</v>
      </c>
      <c r="AZ51" t="s">
        <v>445</v>
      </c>
      <c r="BA51" t="b">
        <v>0</v>
      </c>
      <c r="BB51" t="s">
        <v>446</v>
      </c>
    </row>
    <row r="52" spans="1:54" x14ac:dyDescent="0.2">
      <c r="A52">
        <v>56</v>
      </c>
      <c r="B52" t="s">
        <v>742</v>
      </c>
      <c r="C52">
        <v>390</v>
      </c>
      <c r="F52" t="s">
        <v>430</v>
      </c>
      <c r="I52" t="s">
        <v>450</v>
      </c>
      <c r="J52">
        <v>0</v>
      </c>
      <c r="K52">
        <v>1072</v>
      </c>
      <c r="L52" t="s">
        <v>426</v>
      </c>
      <c r="M52" t="s">
        <v>427</v>
      </c>
      <c r="N52" t="s">
        <v>428</v>
      </c>
      <c r="O52" t="s">
        <v>429</v>
      </c>
      <c r="P52" t="s">
        <v>430</v>
      </c>
      <c r="Q52" t="s">
        <v>431</v>
      </c>
      <c r="R52" t="s">
        <v>432</v>
      </c>
      <c r="S52" t="s">
        <v>433</v>
      </c>
      <c r="T52" t="s">
        <v>434</v>
      </c>
      <c r="U52" t="s">
        <v>435</v>
      </c>
      <c r="V52" t="s">
        <v>436</v>
      </c>
      <c r="W52" t="s">
        <v>437</v>
      </c>
      <c r="X52" t="s">
        <v>438</v>
      </c>
      <c r="Y52" t="s">
        <v>431</v>
      </c>
      <c r="Z52" t="s">
        <v>431</v>
      </c>
      <c r="AA52" t="s">
        <v>431</v>
      </c>
      <c r="AB52" t="s">
        <v>439</v>
      </c>
      <c r="AC52" t="s">
        <v>440</v>
      </c>
      <c r="AD52" t="s">
        <v>441</v>
      </c>
      <c r="AE52" t="s">
        <v>442</v>
      </c>
      <c r="AF52">
        <v>1749</v>
      </c>
      <c r="AG52">
        <v>29.96</v>
      </c>
      <c r="AH52" t="s">
        <v>443</v>
      </c>
      <c r="AI52" t="s">
        <v>172</v>
      </c>
      <c r="AJ52" t="s">
        <v>444</v>
      </c>
      <c r="AK52">
        <v>319</v>
      </c>
      <c r="AL52" t="s">
        <v>428</v>
      </c>
      <c r="AM52" t="s">
        <v>441</v>
      </c>
      <c r="AN52">
        <v>390</v>
      </c>
      <c r="AO52">
        <v>268</v>
      </c>
      <c r="AP52">
        <v>333</v>
      </c>
      <c r="AQ52">
        <v>314.44078947368399</v>
      </c>
      <c r="AR52">
        <v>155</v>
      </c>
      <c r="AS52">
        <v>151</v>
      </c>
      <c r="AT52">
        <v>1.0123568819878599</v>
      </c>
      <c r="AU52">
        <v>1727.65161290323</v>
      </c>
      <c r="AV52">
        <v>2.3199121686719999</v>
      </c>
      <c r="AW52">
        <v>0.72757724451614303</v>
      </c>
      <c r="AX52" t="s">
        <v>441</v>
      </c>
      <c r="AY52" t="s">
        <v>441</v>
      </c>
      <c r="AZ52" t="s">
        <v>445</v>
      </c>
      <c r="BA52" t="b">
        <v>0</v>
      </c>
      <c r="BB52" t="s">
        <v>446</v>
      </c>
    </row>
    <row r="53" spans="1:54" x14ac:dyDescent="0.2">
      <c r="A53">
        <v>57</v>
      </c>
      <c r="B53" t="s">
        <v>743</v>
      </c>
      <c r="C53">
        <v>390</v>
      </c>
      <c r="F53" t="s">
        <v>430</v>
      </c>
      <c r="I53" t="s">
        <v>450</v>
      </c>
      <c r="J53">
        <v>0</v>
      </c>
      <c r="K53">
        <v>1072</v>
      </c>
      <c r="L53" t="s">
        <v>426</v>
      </c>
      <c r="M53" t="s">
        <v>427</v>
      </c>
      <c r="N53" t="s">
        <v>428</v>
      </c>
      <c r="O53" t="s">
        <v>429</v>
      </c>
      <c r="P53" t="s">
        <v>430</v>
      </c>
      <c r="Q53" t="s">
        <v>431</v>
      </c>
      <c r="R53" t="s">
        <v>432</v>
      </c>
      <c r="S53" t="s">
        <v>433</v>
      </c>
      <c r="T53" t="s">
        <v>434</v>
      </c>
      <c r="U53" t="s">
        <v>435</v>
      </c>
      <c r="V53" t="s">
        <v>436</v>
      </c>
      <c r="W53" t="s">
        <v>437</v>
      </c>
      <c r="X53" t="s">
        <v>438</v>
      </c>
      <c r="Y53" t="s">
        <v>431</v>
      </c>
      <c r="Z53" t="s">
        <v>431</v>
      </c>
      <c r="AA53" t="s">
        <v>431</v>
      </c>
      <c r="AB53" t="s">
        <v>439</v>
      </c>
      <c r="AC53" t="s">
        <v>440</v>
      </c>
      <c r="AD53" t="s">
        <v>441</v>
      </c>
      <c r="AE53" t="s">
        <v>442</v>
      </c>
      <c r="AF53">
        <v>1749</v>
      </c>
      <c r="AG53">
        <v>29.96</v>
      </c>
      <c r="AH53" t="s">
        <v>443</v>
      </c>
      <c r="AI53" t="s">
        <v>172</v>
      </c>
      <c r="AJ53" t="s">
        <v>444</v>
      </c>
      <c r="AK53">
        <v>321</v>
      </c>
      <c r="AL53" t="s">
        <v>428</v>
      </c>
      <c r="AM53" t="s">
        <v>441</v>
      </c>
      <c r="AN53">
        <v>390</v>
      </c>
      <c r="AO53">
        <v>268</v>
      </c>
      <c r="AP53">
        <v>333</v>
      </c>
      <c r="AQ53">
        <v>314.44078947368399</v>
      </c>
      <c r="AR53">
        <v>155</v>
      </c>
      <c r="AS53">
        <v>151</v>
      </c>
      <c r="AT53">
        <v>1.0123568819878599</v>
      </c>
      <c r="AU53">
        <v>1727.65161290323</v>
      </c>
      <c r="AV53">
        <v>2.3199121686719999</v>
      </c>
      <c r="AW53">
        <v>0.72757724451614303</v>
      </c>
      <c r="AX53" t="s">
        <v>441</v>
      </c>
      <c r="AY53" t="s">
        <v>441</v>
      </c>
      <c r="AZ53" t="s">
        <v>445</v>
      </c>
      <c r="BA53" t="b">
        <v>0</v>
      </c>
      <c r="BB53" t="s">
        <v>446</v>
      </c>
    </row>
    <row r="54" spans="1:54" x14ac:dyDescent="0.2">
      <c r="A54">
        <v>18</v>
      </c>
      <c r="B54" t="s">
        <v>744</v>
      </c>
      <c r="C54">
        <v>360</v>
      </c>
      <c r="F54" t="s">
        <v>360</v>
      </c>
      <c r="I54" t="s">
        <v>745</v>
      </c>
      <c r="J54" s="6" t="s">
        <v>746</v>
      </c>
      <c r="K54">
        <v>279</v>
      </c>
      <c r="L54" t="s">
        <v>628</v>
      </c>
      <c r="M54" t="s">
        <v>427</v>
      </c>
      <c r="N54" t="s">
        <v>587</v>
      </c>
      <c r="O54" t="s">
        <v>629</v>
      </c>
      <c r="P54" t="s">
        <v>360</v>
      </c>
      <c r="Q54" t="s">
        <v>630</v>
      </c>
      <c r="R54" t="s">
        <v>431</v>
      </c>
      <c r="S54" t="s">
        <v>631</v>
      </c>
      <c r="T54" t="s">
        <v>592</v>
      </c>
      <c r="U54" t="s">
        <v>593</v>
      </c>
      <c r="V54" t="s">
        <v>431</v>
      </c>
      <c r="W54" t="s">
        <v>431</v>
      </c>
      <c r="X54" t="s">
        <v>594</v>
      </c>
      <c r="Y54" t="s">
        <v>431</v>
      </c>
      <c r="Z54" t="s">
        <v>431</v>
      </c>
      <c r="AA54" t="s">
        <v>431</v>
      </c>
      <c r="AB54" t="s">
        <v>632</v>
      </c>
      <c r="AC54" t="s">
        <v>633</v>
      </c>
      <c r="AD54" t="s">
        <v>634</v>
      </c>
      <c r="AE54" t="s">
        <v>635</v>
      </c>
      <c r="AF54">
        <v>585</v>
      </c>
      <c r="AG54">
        <v>19.32</v>
      </c>
      <c r="AH54" t="s">
        <v>443</v>
      </c>
      <c r="AI54" t="s">
        <v>272</v>
      </c>
      <c r="AJ54" t="s">
        <v>444</v>
      </c>
      <c r="AK54">
        <v>351</v>
      </c>
      <c r="AL54" t="s">
        <v>587</v>
      </c>
      <c r="AM54" t="s">
        <v>634</v>
      </c>
      <c r="AN54">
        <v>360</v>
      </c>
      <c r="AO54">
        <v>319</v>
      </c>
      <c r="AP54">
        <v>392</v>
      </c>
      <c r="AQ54">
        <v>367.95364238410599</v>
      </c>
      <c r="AR54">
        <v>154</v>
      </c>
      <c r="AS54">
        <v>152</v>
      </c>
      <c r="AT54">
        <v>1.0427807486631</v>
      </c>
      <c r="AU54">
        <v>561</v>
      </c>
      <c r="AV54">
        <v>1.1176470588235301</v>
      </c>
      <c r="AW54">
        <v>0.83422459893048095</v>
      </c>
      <c r="AX54" t="s">
        <v>634</v>
      </c>
      <c r="AY54" t="s">
        <v>634</v>
      </c>
      <c r="AZ54" t="s">
        <v>636</v>
      </c>
      <c r="BA54" t="b">
        <v>1</v>
      </c>
      <c r="BB54" t="s">
        <v>637</v>
      </c>
    </row>
    <row r="55" spans="1:54" x14ac:dyDescent="0.2">
      <c r="A55">
        <v>19</v>
      </c>
      <c r="B55" t="s">
        <v>358</v>
      </c>
      <c r="C55">
        <v>754</v>
      </c>
      <c r="F55" t="s">
        <v>360</v>
      </c>
      <c r="I55" t="s">
        <v>747</v>
      </c>
      <c r="J55" s="6" t="s">
        <v>748</v>
      </c>
      <c r="K55">
        <v>245</v>
      </c>
      <c r="L55" t="s">
        <v>628</v>
      </c>
      <c r="M55" t="s">
        <v>427</v>
      </c>
      <c r="N55" t="s">
        <v>587</v>
      </c>
      <c r="O55" t="s">
        <v>629</v>
      </c>
      <c r="P55" t="s">
        <v>360</v>
      </c>
      <c r="Q55" t="s">
        <v>630</v>
      </c>
      <c r="R55" t="s">
        <v>431</v>
      </c>
      <c r="S55" t="s">
        <v>631</v>
      </c>
      <c r="T55" t="s">
        <v>592</v>
      </c>
      <c r="U55" t="s">
        <v>593</v>
      </c>
      <c r="V55" t="s">
        <v>431</v>
      </c>
      <c r="W55" t="s">
        <v>431</v>
      </c>
      <c r="X55" t="s">
        <v>594</v>
      </c>
      <c r="Y55" t="s">
        <v>431</v>
      </c>
      <c r="Z55" t="s">
        <v>431</v>
      </c>
      <c r="AA55" t="s">
        <v>431</v>
      </c>
      <c r="AB55" t="s">
        <v>632</v>
      </c>
      <c r="AC55" t="s">
        <v>633</v>
      </c>
      <c r="AD55" t="s">
        <v>634</v>
      </c>
      <c r="AE55" t="s">
        <v>635</v>
      </c>
      <c r="AF55">
        <v>627</v>
      </c>
      <c r="AG55">
        <v>18.34</v>
      </c>
      <c r="AH55" t="s">
        <v>443</v>
      </c>
      <c r="AI55" t="s">
        <v>272</v>
      </c>
      <c r="AJ55" t="s">
        <v>444</v>
      </c>
      <c r="AK55">
        <v>352</v>
      </c>
      <c r="AL55" t="s">
        <v>587</v>
      </c>
      <c r="AM55" t="s">
        <v>634</v>
      </c>
      <c r="AN55">
        <v>754</v>
      </c>
      <c r="AO55">
        <v>352</v>
      </c>
      <c r="AP55">
        <v>352</v>
      </c>
      <c r="AQ55">
        <v>352</v>
      </c>
      <c r="AR55">
        <v>154</v>
      </c>
      <c r="AS55">
        <v>152</v>
      </c>
      <c r="AT55">
        <v>1.1176470588235301</v>
      </c>
      <c r="AU55">
        <v>561</v>
      </c>
      <c r="AV55">
        <v>1.1176470588235301</v>
      </c>
      <c r="AW55">
        <v>0.83422459893048095</v>
      </c>
      <c r="AX55" t="s">
        <v>634</v>
      </c>
      <c r="AY55" t="s">
        <v>634</v>
      </c>
      <c r="AZ55" t="s">
        <v>636</v>
      </c>
      <c r="BA55" t="b">
        <v>1</v>
      </c>
      <c r="BB55" t="s">
        <v>637</v>
      </c>
    </row>
  </sheetData>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3C775-C388-7343-9C47-7A69963AA31C}">
  <dimension ref="A1:B152"/>
  <sheetViews>
    <sheetView topLeftCell="A116" workbookViewId="0">
      <selection activeCell="B99" sqref="B99"/>
    </sheetView>
  </sheetViews>
  <sheetFormatPr baseColWidth="10" defaultRowHeight="16" x14ac:dyDescent="0.2"/>
  <cols>
    <col min="1" max="1" width="27.5" customWidth="1"/>
    <col min="2" max="2" width="51.1640625" customWidth="1"/>
  </cols>
  <sheetData>
    <row r="1" spans="1:2" ht="18" x14ac:dyDescent="0.2">
      <c r="A1" s="2" t="s">
        <v>40</v>
      </c>
      <c r="B1" s="2" t="s">
        <v>192</v>
      </c>
    </row>
    <row r="2" spans="1:2" ht="18" x14ac:dyDescent="0.2">
      <c r="A2" s="2" t="s">
        <v>41</v>
      </c>
      <c r="B2" s="2" t="s">
        <v>193</v>
      </c>
    </row>
    <row r="3" spans="1:2" ht="18" x14ac:dyDescent="0.2">
      <c r="A3" s="2" t="s">
        <v>42</v>
      </c>
      <c r="B3" s="2" t="s">
        <v>194</v>
      </c>
    </row>
    <row r="4" spans="1:2" ht="18" x14ac:dyDescent="0.2">
      <c r="A4" s="2" t="s">
        <v>43</v>
      </c>
      <c r="B4" s="2" t="s">
        <v>195</v>
      </c>
    </row>
    <row r="5" spans="1:2" ht="18" x14ac:dyDescent="0.2">
      <c r="A5" s="2" t="s">
        <v>44</v>
      </c>
      <c r="B5" s="2" t="s">
        <v>196</v>
      </c>
    </row>
    <row r="6" spans="1:2" ht="18" x14ac:dyDescent="0.2">
      <c r="A6" s="2" t="s">
        <v>45</v>
      </c>
      <c r="B6" s="2" t="s">
        <v>197</v>
      </c>
    </row>
    <row r="7" spans="1:2" ht="18" x14ac:dyDescent="0.2">
      <c r="A7" s="2" t="s">
        <v>46</v>
      </c>
      <c r="B7" s="2" t="s">
        <v>198</v>
      </c>
    </row>
    <row r="8" spans="1:2" ht="18" x14ac:dyDescent="0.2">
      <c r="A8" s="2" t="s">
        <v>47</v>
      </c>
      <c r="B8" s="2" t="s">
        <v>199</v>
      </c>
    </row>
    <row r="9" spans="1:2" ht="18" x14ac:dyDescent="0.2">
      <c r="A9" s="2" t="s">
        <v>48</v>
      </c>
      <c r="B9" s="2" t="s">
        <v>200</v>
      </c>
    </row>
    <row r="10" spans="1:2" ht="18" x14ac:dyDescent="0.2">
      <c r="A10" s="2" t="s">
        <v>49</v>
      </c>
      <c r="B10" s="2" t="s">
        <v>201</v>
      </c>
    </row>
    <row r="11" spans="1:2" ht="18" x14ac:dyDescent="0.2">
      <c r="A11" s="2" t="s">
        <v>50</v>
      </c>
      <c r="B11" s="2" t="s">
        <v>202</v>
      </c>
    </row>
    <row r="12" spans="1:2" ht="18" x14ac:dyDescent="0.2">
      <c r="A12" s="2" t="s">
        <v>51</v>
      </c>
      <c r="B12" s="2" t="s">
        <v>203</v>
      </c>
    </row>
    <row r="13" spans="1:2" ht="18" x14ac:dyDescent="0.2">
      <c r="A13" s="2" t="s">
        <v>52</v>
      </c>
      <c r="B13" s="2" t="s">
        <v>204</v>
      </c>
    </row>
    <row r="14" spans="1:2" ht="18" x14ac:dyDescent="0.2">
      <c r="A14" s="2" t="s">
        <v>53</v>
      </c>
      <c r="B14" s="2" t="s">
        <v>205</v>
      </c>
    </row>
    <row r="15" spans="1:2" ht="18" x14ac:dyDescent="0.2">
      <c r="A15" s="2" t="s">
        <v>54</v>
      </c>
      <c r="B15" s="2" t="s">
        <v>206</v>
      </c>
    </row>
    <row r="16" spans="1:2" ht="18" x14ac:dyDescent="0.2">
      <c r="A16" s="2" t="s">
        <v>55</v>
      </c>
      <c r="B16" s="2" t="s">
        <v>207</v>
      </c>
    </row>
    <row r="17" spans="1:2" ht="18" x14ac:dyDescent="0.2">
      <c r="A17" s="2" t="s">
        <v>56</v>
      </c>
      <c r="B17" s="2" t="s">
        <v>208</v>
      </c>
    </row>
    <row r="18" spans="1:2" ht="18" x14ac:dyDescent="0.2">
      <c r="A18" s="2" t="s">
        <v>57</v>
      </c>
      <c r="B18" s="2" t="s">
        <v>209</v>
      </c>
    </row>
    <row r="19" spans="1:2" ht="18" x14ac:dyDescent="0.2">
      <c r="A19" s="2" t="s">
        <v>58</v>
      </c>
      <c r="B19" s="2" t="s">
        <v>210</v>
      </c>
    </row>
    <row r="20" spans="1:2" ht="18" x14ac:dyDescent="0.2">
      <c r="A20" s="2" t="s">
        <v>59</v>
      </c>
      <c r="B20" s="2" t="s">
        <v>211</v>
      </c>
    </row>
    <row r="21" spans="1:2" ht="18" x14ac:dyDescent="0.2">
      <c r="A21" s="2" t="s">
        <v>60</v>
      </c>
      <c r="B21" s="2" t="s">
        <v>212</v>
      </c>
    </row>
    <row r="22" spans="1:2" ht="18" x14ac:dyDescent="0.2">
      <c r="A22" s="2" t="s">
        <v>61</v>
      </c>
      <c r="B22" s="2" t="s">
        <v>213</v>
      </c>
    </row>
    <row r="23" spans="1:2" ht="18" x14ac:dyDescent="0.2">
      <c r="A23" s="2" t="s">
        <v>62</v>
      </c>
      <c r="B23" s="2" t="s">
        <v>214</v>
      </c>
    </row>
    <row r="24" spans="1:2" ht="18" x14ac:dyDescent="0.2">
      <c r="A24" s="2" t="s">
        <v>63</v>
      </c>
      <c r="B24" s="2" t="s">
        <v>215</v>
      </c>
    </row>
    <row r="25" spans="1:2" ht="18" x14ac:dyDescent="0.2">
      <c r="A25" s="2" t="s">
        <v>64</v>
      </c>
      <c r="B25" s="2" t="s">
        <v>216</v>
      </c>
    </row>
    <row r="26" spans="1:2" ht="18" x14ac:dyDescent="0.2">
      <c r="A26" s="2" t="s">
        <v>65</v>
      </c>
      <c r="B26" s="2" t="s">
        <v>217</v>
      </c>
    </row>
    <row r="27" spans="1:2" ht="18" x14ac:dyDescent="0.2">
      <c r="A27" s="2" t="s">
        <v>66</v>
      </c>
      <c r="B27" s="2" t="s">
        <v>218</v>
      </c>
    </row>
    <row r="28" spans="1:2" ht="18" x14ac:dyDescent="0.2">
      <c r="A28" s="2" t="s">
        <v>67</v>
      </c>
      <c r="B28" s="2" t="s">
        <v>219</v>
      </c>
    </row>
    <row r="29" spans="1:2" ht="18" x14ac:dyDescent="0.2">
      <c r="A29" s="2" t="s">
        <v>68</v>
      </c>
      <c r="B29" s="2" t="s">
        <v>220</v>
      </c>
    </row>
    <row r="30" spans="1:2" ht="18" x14ac:dyDescent="0.2">
      <c r="A30" s="2" t="s">
        <v>69</v>
      </c>
      <c r="B30" s="2" t="s">
        <v>221</v>
      </c>
    </row>
    <row r="31" spans="1:2" ht="18" x14ac:dyDescent="0.2">
      <c r="A31" s="2" t="s">
        <v>70</v>
      </c>
      <c r="B31" s="2" t="s">
        <v>222</v>
      </c>
    </row>
    <row r="32" spans="1:2" ht="18" x14ac:dyDescent="0.2">
      <c r="A32" s="2" t="s">
        <v>71</v>
      </c>
      <c r="B32" s="2" t="s">
        <v>71</v>
      </c>
    </row>
    <row r="33" spans="1:2" ht="18" x14ac:dyDescent="0.2">
      <c r="A33" s="2" t="s">
        <v>72</v>
      </c>
      <c r="B33" s="2" t="s">
        <v>72</v>
      </c>
    </row>
    <row r="34" spans="1:2" ht="18" x14ac:dyDescent="0.2">
      <c r="A34" s="2" t="s">
        <v>73</v>
      </c>
      <c r="B34" s="2" t="s">
        <v>73</v>
      </c>
    </row>
    <row r="35" spans="1:2" ht="18" x14ac:dyDescent="0.2">
      <c r="A35" s="2" t="s">
        <v>74</v>
      </c>
      <c r="B35" s="2" t="s">
        <v>74</v>
      </c>
    </row>
    <row r="36" spans="1:2" ht="18" x14ac:dyDescent="0.2">
      <c r="A36" s="2" t="s">
        <v>75</v>
      </c>
      <c r="B36" s="2" t="s">
        <v>75</v>
      </c>
    </row>
    <row r="37" spans="1:2" ht="18" x14ac:dyDescent="0.2">
      <c r="A37" s="2" t="s">
        <v>76</v>
      </c>
      <c r="B37" s="2" t="s">
        <v>76</v>
      </c>
    </row>
    <row r="38" spans="1:2" ht="18" x14ac:dyDescent="0.2">
      <c r="A38" s="2" t="s">
        <v>77</v>
      </c>
      <c r="B38" s="2" t="s">
        <v>223</v>
      </c>
    </row>
    <row r="39" spans="1:2" ht="18" x14ac:dyDescent="0.2">
      <c r="A39" s="2" t="s">
        <v>78</v>
      </c>
      <c r="B39" s="2" t="s">
        <v>224</v>
      </c>
    </row>
    <row r="40" spans="1:2" ht="18" x14ac:dyDescent="0.2">
      <c r="A40" s="2" t="s">
        <v>79</v>
      </c>
      <c r="B40" s="2" t="s">
        <v>225</v>
      </c>
    </row>
    <row r="41" spans="1:2" ht="18" x14ac:dyDescent="0.2">
      <c r="A41" s="2" t="s">
        <v>80</v>
      </c>
      <c r="B41" s="2" t="s">
        <v>226</v>
      </c>
    </row>
    <row r="42" spans="1:2" ht="18" x14ac:dyDescent="0.2">
      <c r="A42" s="2" t="s">
        <v>81</v>
      </c>
      <c r="B42" s="2" t="s">
        <v>227</v>
      </c>
    </row>
    <row r="43" spans="1:2" ht="18" x14ac:dyDescent="0.2">
      <c r="A43" s="2" t="s">
        <v>82</v>
      </c>
      <c r="B43" s="2" t="s">
        <v>82</v>
      </c>
    </row>
    <row r="44" spans="1:2" ht="18" x14ac:dyDescent="0.2">
      <c r="A44" s="2" t="s">
        <v>83</v>
      </c>
      <c r="B44" s="2" t="s">
        <v>83</v>
      </c>
    </row>
    <row r="45" spans="1:2" ht="18" x14ac:dyDescent="0.2">
      <c r="A45" s="2" t="s">
        <v>84</v>
      </c>
      <c r="B45" s="2" t="s">
        <v>84</v>
      </c>
    </row>
    <row r="46" spans="1:2" ht="18" x14ac:dyDescent="0.2">
      <c r="A46" s="2" t="s">
        <v>85</v>
      </c>
      <c r="B46" s="2" t="s">
        <v>85</v>
      </c>
    </row>
    <row r="47" spans="1:2" ht="18" x14ac:dyDescent="0.2">
      <c r="A47" s="2" t="s">
        <v>86</v>
      </c>
      <c r="B47" s="2" t="s">
        <v>86</v>
      </c>
    </row>
    <row r="48" spans="1:2" ht="18" x14ac:dyDescent="0.2">
      <c r="A48" s="2" t="s">
        <v>87</v>
      </c>
      <c r="B48" s="2" t="s">
        <v>228</v>
      </c>
    </row>
    <row r="49" spans="1:2" ht="18" x14ac:dyDescent="0.2">
      <c r="A49" s="2" t="s">
        <v>88</v>
      </c>
      <c r="B49" s="2" t="s">
        <v>229</v>
      </c>
    </row>
    <row r="50" spans="1:2" ht="18" x14ac:dyDescent="0.2">
      <c r="A50" s="2" t="s">
        <v>89</v>
      </c>
      <c r="B50" s="2" t="s">
        <v>230</v>
      </c>
    </row>
    <row r="51" spans="1:2" ht="18" x14ac:dyDescent="0.2">
      <c r="A51" s="2" t="s">
        <v>90</v>
      </c>
      <c r="B51" s="2" t="s">
        <v>231</v>
      </c>
    </row>
    <row r="52" spans="1:2" ht="18" x14ac:dyDescent="0.2">
      <c r="A52" s="2" t="s">
        <v>91</v>
      </c>
      <c r="B52" s="2" t="s">
        <v>232</v>
      </c>
    </row>
    <row r="53" spans="1:2" ht="18" x14ac:dyDescent="0.2">
      <c r="A53" s="2" t="s">
        <v>92</v>
      </c>
      <c r="B53" s="2" t="s">
        <v>233</v>
      </c>
    </row>
    <row r="54" spans="1:2" ht="18" x14ac:dyDescent="0.2">
      <c r="A54" s="2" t="s">
        <v>93</v>
      </c>
      <c r="B54" s="2" t="s">
        <v>234</v>
      </c>
    </row>
    <row r="55" spans="1:2" ht="18" x14ac:dyDescent="0.2">
      <c r="A55" s="2" t="s">
        <v>94</v>
      </c>
      <c r="B55" s="2" t="s">
        <v>235</v>
      </c>
    </row>
    <row r="56" spans="1:2" ht="18" x14ac:dyDescent="0.2">
      <c r="A56" s="2" t="s">
        <v>95</v>
      </c>
      <c r="B56" s="2" t="s">
        <v>236</v>
      </c>
    </row>
    <row r="57" spans="1:2" ht="18" x14ac:dyDescent="0.2">
      <c r="A57" s="2" t="s">
        <v>96</v>
      </c>
      <c r="B57" s="2" t="s">
        <v>237</v>
      </c>
    </row>
    <row r="58" spans="1:2" ht="18" x14ac:dyDescent="0.2">
      <c r="A58" s="2" t="s">
        <v>97</v>
      </c>
      <c r="B58" s="2" t="s">
        <v>238</v>
      </c>
    </row>
    <row r="59" spans="1:2" ht="18" x14ac:dyDescent="0.2">
      <c r="A59" s="2" t="s">
        <v>98</v>
      </c>
      <c r="B59" s="2" t="s">
        <v>239</v>
      </c>
    </row>
    <row r="60" spans="1:2" ht="18" x14ac:dyDescent="0.2">
      <c r="A60" s="2" t="s">
        <v>99</v>
      </c>
      <c r="B60" s="2" t="s">
        <v>240</v>
      </c>
    </row>
    <row r="61" spans="1:2" ht="18" x14ac:dyDescent="0.2">
      <c r="A61" s="2" t="s">
        <v>100</v>
      </c>
      <c r="B61" s="2" t="s">
        <v>241</v>
      </c>
    </row>
    <row r="62" spans="1:2" ht="18" x14ac:dyDescent="0.2">
      <c r="A62" s="2" t="s">
        <v>101</v>
      </c>
      <c r="B62" s="2" t="s">
        <v>242</v>
      </c>
    </row>
    <row r="63" spans="1:2" ht="18" x14ac:dyDescent="0.2">
      <c r="A63" s="2" t="s">
        <v>102</v>
      </c>
      <c r="B63" s="2" t="s">
        <v>243</v>
      </c>
    </row>
    <row r="64" spans="1:2" ht="18" x14ac:dyDescent="0.2">
      <c r="A64" s="2" t="s">
        <v>103</v>
      </c>
      <c r="B64" s="2" t="s">
        <v>244</v>
      </c>
    </row>
    <row r="65" spans="1:2" ht="18" x14ac:dyDescent="0.2">
      <c r="A65" s="2" t="s">
        <v>104</v>
      </c>
      <c r="B65" s="2" t="s">
        <v>245</v>
      </c>
    </row>
    <row r="66" spans="1:2" ht="18" x14ac:dyDescent="0.2">
      <c r="A66" s="2" t="s">
        <v>105</v>
      </c>
      <c r="B66" s="2" t="s">
        <v>246</v>
      </c>
    </row>
    <row r="67" spans="1:2" ht="18" x14ac:dyDescent="0.2">
      <c r="A67" s="2" t="s">
        <v>106</v>
      </c>
      <c r="B67" s="2" t="s">
        <v>247</v>
      </c>
    </row>
    <row r="68" spans="1:2" ht="18" x14ac:dyDescent="0.2">
      <c r="A68" s="2" t="s">
        <v>107</v>
      </c>
      <c r="B68" s="2" t="s">
        <v>248</v>
      </c>
    </row>
    <row r="69" spans="1:2" ht="18" x14ac:dyDescent="0.2">
      <c r="A69" s="2" t="s">
        <v>108</v>
      </c>
      <c r="B69" s="2" t="s">
        <v>249</v>
      </c>
    </row>
    <row r="70" spans="1:2" ht="18" x14ac:dyDescent="0.2">
      <c r="A70" s="2" t="s">
        <v>109</v>
      </c>
      <c r="B70" s="2" t="s">
        <v>250</v>
      </c>
    </row>
    <row r="71" spans="1:2" ht="18" x14ac:dyDescent="0.2">
      <c r="A71" s="2" t="s">
        <v>110</v>
      </c>
      <c r="B71" s="2" t="s">
        <v>251</v>
      </c>
    </row>
    <row r="72" spans="1:2" ht="18" x14ac:dyDescent="0.2">
      <c r="A72" s="2" t="s">
        <v>111</v>
      </c>
      <c r="B72" s="2" t="s">
        <v>252</v>
      </c>
    </row>
    <row r="73" spans="1:2" ht="18" x14ac:dyDescent="0.2">
      <c r="A73" s="2" t="s">
        <v>112</v>
      </c>
      <c r="B73" s="2" t="s">
        <v>253</v>
      </c>
    </row>
    <row r="74" spans="1:2" ht="18" x14ac:dyDescent="0.2">
      <c r="A74" s="2" t="s">
        <v>113</v>
      </c>
      <c r="B74" s="2" t="s">
        <v>254</v>
      </c>
    </row>
    <row r="75" spans="1:2" ht="18" x14ac:dyDescent="0.2">
      <c r="A75" s="2" t="s">
        <v>114</v>
      </c>
      <c r="B75" s="2" t="s">
        <v>255</v>
      </c>
    </row>
    <row r="76" spans="1:2" ht="18" x14ac:dyDescent="0.2">
      <c r="A76" s="2" t="s">
        <v>115</v>
      </c>
      <c r="B76" s="2" t="s">
        <v>256</v>
      </c>
    </row>
    <row r="77" spans="1:2" ht="18" x14ac:dyDescent="0.2">
      <c r="A77" s="2" t="s">
        <v>116</v>
      </c>
      <c r="B77" s="2" t="s">
        <v>257</v>
      </c>
    </row>
    <row r="78" spans="1:2" ht="18" x14ac:dyDescent="0.2">
      <c r="A78" s="2" t="s">
        <v>117</v>
      </c>
      <c r="B78" s="2" t="s">
        <v>258</v>
      </c>
    </row>
    <row r="79" spans="1:2" ht="18" x14ac:dyDescent="0.2">
      <c r="A79" s="2" t="s">
        <v>118</v>
      </c>
      <c r="B79" s="2" t="s">
        <v>259</v>
      </c>
    </row>
    <row r="80" spans="1:2" ht="18" x14ac:dyDescent="0.2">
      <c r="A80" s="2" t="s">
        <v>119</v>
      </c>
      <c r="B80" s="2" t="s">
        <v>260</v>
      </c>
    </row>
    <row r="81" spans="1:2" ht="18" x14ac:dyDescent="0.2">
      <c r="A81" s="2" t="s">
        <v>120</v>
      </c>
      <c r="B81" s="2" t="s">
        <v>261</v>
      </c>
    </row>
    <row r="82" spans="1:2" ht="18" x14ac:dyDescent="0.2">
      <c r="A82" s="2" t="s">
        <v>121</v>
      </c>
      <c r="B82" s="2" t="s">
        <v>121</v>
      </c>
    </row>
    <row r="83" spans="1:2" ht="18" x14ac:dyDescent="0.2">
      <c r="A83" s="2" t="s">
        <v>122</v>
      </c>
      <c r="B83" s="2" t="s">
        <v>122</v>
      </c>
    </row>
    <row r="84" spans="1:2" ht="18" x14ac:dyDescent="0.2">
      <c r="A84" s="2" t="s">
        <v>123</v>
      </c>
      <c r="B84" s="2" t="s">
        <v>123</v>
      </c>
    </row>
    <row r="85" spans="1:2" ht="18" x14ac:dyDescent="0.2">
      <c r="A85" s="2" t="s">
        <v>124</v>
      </c>
      <c r="B85" s="2" t="s">
        <v>124</v>
      </c>
    </row>
    <row r="86" spans="1:2" ht="18" x14ac:dyDescent="0.2">
      <c r="A86" s="2" t="s">
        <v>125</v>
      </c>
      <c r="B86" s="2" t="s">
        <v>125</v>
      </c>
    </row>
    <row r="87" spans="1:2" ht="18" x14ac:dyDescent="0.2">
      <c r="A87" s="2" t="s">
        <v>126</v>
      </c>
      <c r="B87" s="2" t="s">
        <v>126</v>
      </c>
    </row>
    <row r="88" spans="1:2" ht="18" x14ac:dyDescent="0.2">
      <c r="A88" s="2" t="s">
        <v>127</v>
      </c>
      <c r="B88" s="2" t="s">
        <v>127</v>
      </c>
    </row>
    <row r="89" spans="1:2" ht="18" x14ac:dyDescent="0.2">
      <c r="A89" s="2" t="s">
        <v>128</v>
      </c>
      <c r="B89" s="2" t="s">
        <v>128</v>
      </c>
    </row>
    <row r="90" spans="1:2" ht="18" x14ac:dyDescent="0.2">
      <c r="A90" s="2" t="s">
        <v>129</v>
      </c>
      <c r="B90" s="2" t="s">
        <v>129</v>
      </c>
    </row>
    <row r="91" spans="1:2" ht="18" x14ac:dyDescent="0.2">
      <c r="A91" s="2" t="s">
        <v>130</v>
      </c>
      <c r="B91" s="2" t="s">
        <v>130</v>
      </c>
    </row>
    <row r="92" spans="1:2" ht="18" x14ac:dyDescent="0.2">
      <c r="A92" s="2" t="s">
        <v>131</v>
      </c>
      <c r="B92" s="2" t="s">
        <v>131</v>
      </c>
    </row>
    <row r="93" spans="1:2" ht="18" x14ac:dyDescent="0.2">
      <c r="A93" s="2" t="s">
        <v>132</v>
      </c>
      <c r="B93" s="2" t="s">
        <v>132</v>
      </c>
    </row>
    <row r="94" spans="1:2" ht="18" x14ac:dyDescent="0.2">
      <c r="A94" s="2" t="s">
        <v>133</v>
      </c>
      <c r="B94" s="2" t="s">
        <v>133</v>
      </c>
    </row>
    <row r="95" spans="1:2" ht="18" x14ac:dyDescent="0.2">
      <c r="A95" s="2" t="s">
        <v>134</v>
      </c>
      <c r="B95" s="2" t="s">
        <v>134</v>
      </c>
    </row>
    <row r="96" spans="1:2" ht="18" x14ac:dyDescent="0.2">
      <c r="A96" s="2" t="s">
        <v>135</v>
      </c>
      <c r="B96" s="2" t="s">
        <v>135</v>
      </c>
    </row>
    <row r="97" spans="1:2" ht="18" x14ac:dyDescent="0.2">
      <c r="A97" s="2" t="s">
        <v>136</v>
      </c>
      <c r="B97" s="2" t="s">
        <v>136</v>
      </c>
    </row>
    <row r="98" spans="1:2" ht="18" x14ac:dyDescent="0.2">
      <c r="A98" s="2" t="s">
        <v>137</v>
      </c>
      <c r="B98" s="2" t="s">
        <v>137</v>
      </c>
    </row>
    <row r="99" spans="1:2" ht="18" x14ac:dyDescent="0.2">
      <c r="A99" s="2" t="s">
        <v>754</v>
      </c>
      <c r="B99" s="2" t="s">
        <v>754</v>
      </c>
    </row>
    <row r="100" spans="1:2" ht="18" x14ac:dyDescent="0.2">
      <c r="A100" s="2" t="s">
        <v>139</v>
      </c>
      <c r="B100" s="2" t="s">
        <v>139</v>
      </c>
    </row>
    <row r="101" spans="1:2" ht="18" x14ac:dyDescent="0.2">
      <c r="A101" s="2" t="s">
        <v>140</v>
      </c>
      <c r="B101" s="2" t="s">
        <v>140</v>
      </c>
    </row>
    <row r="102" spans="1:2" ht="18" x14ac:dyDescent="0.2">
      <c r="A102" s="2" t="s">
        <v>141</v>
      </c>
      <c r="B102" s="2" t="s">
        <v>141</v>
      </c>
    </row>
    <row r="103" spans="1:2" ht="18" x14ac:dyDescent="0.2">
      <c r="A103" s="2" t="s">
        <v>142</v>
      </c>
      <c r="B103" s="2" t="s">
        <v>142</v>
      </c>
    </row>
    <row r="104" spans="1:2" ht="18" x14ac:dyDescent="0.2">
      <c r="A104" s="2" t="s">
        <v>143</v>
      </c>
      <c r="B104" s="2" t="s">
        <v>143</v>
      </c>
    </row>
    <row r="105" spans="1:2" ht="18" x14ac:dyDescent="0.2">
      <c r="A105" s="2" t="s">
        <v>144</v>
      </c>
      <c r="B105" s="2" t="s">
        <v>144</v>
      </c>
    </row>
    <row r="106" spans="1:2" ht="18" x14ac:dyDescent="0.2">
      <c r="A106" s="2" t="s">
        <v>145</v>
      </c>
      <c r="B106" s="2" t="s">
        <v>145</v>
      </c>
    </row>
    <row r="107" spans="1:2" ht="18" x14ac:dyDescent="0.2">
      <c r="A107" s="2" t="s">
        <v>146</v>
      </c>
      <c r="B107" s="2" t="s">
        <v>146</v>
      </c>
    </row>
    <row r="108" spans="1:2" ht="18" x14ac:dyDescent="0.2">
      <c r="A108" s="2" t="s">
        <v>147</v>
      </c>
      <c r="B108" s="2" t="s">
        <v>147</v>
      </c>
    </row>
    <row r="109" spans="1:2" ht="18" x14ac:dyDescent="0.2">
      <c r="A109" s="2" t="s">
        <v>148</v>
      </c>
      <c r="B109" s="2" t="s">
        <v>148</v>
      </c>
    </row>
    <row r="110" spans="1:2" ht="18" x14ac:dyDescent="0.2">
      <c r="A110" s="2" t="s">
        <v>149</v>
      </c>
      <c r="B110" s="2" t="s">
        <v>149</v>
      </c>
    </row>
    <row r="111" spans="1:2" ht="18" x14ac:dyDescent="0.2">
      <c r="A111" s="2" t="s">
        <v>150</v>
      </c>
      <c r="B111" s="2" t="s">
        <v>262</v>
      </c>
    </row>
    <row r="112" spans="1:2" ht="18" x14ac:dyDescent="0.2">
      <c r="A112" s="2" t="s">
        <v>151</v>
      </c>
      <c r="B112" s="2" t="s">
        <v>263</v>
      </c>
    </row>
    <row r="113" spans="1:2" ht="18" x14ac:dyDescent="0.2">
      <c r="A113" s="2" t="s">
        <v>152</v>
      </c>
      <c r="B113" s="2" t="s">
        <v>264</v>
      </c>
    </row>
    <row r="114" spans="1:2" ht="18" x14ac:dyDescent="0.2">
      <c r="A114" s="2" t="s">
        <v>153</v>
      </c>
      <c r="B114" s="2" t="s">
        <v>265</v>
      </c>
    </row>
    <row r="115" spans="1:2" ht="18" x14ac:dyDescent="0.2">
      <c r="A115" s="2" t="s">
        <v>154</v>
      </c>
      <c r="B115" s="2" t="s">
        <v>266</v>
      </c>
    </row>
    <row r="116" spans="1:2" ht="18" x14ac:dyDescent="0.2">
      <c r="A116" s="2" t="s">
        <v>155</v>
      </c>
      <c r="B116" s="2" t="s">
        <v>267</v>
      </c>
    </row>
    <row r="117" spans="1:2" ht="18" x14ac:dyDescent="0.2">
      <c r="A117" s="2" t="s">
        <v>156</v>
      </c>
      <c r="B117" s="2" t="s">
        <v>268</v>
      </c>
    </row>
    <row r="118" spans="1:2" ht="18" x14ac:dyDescent="0.2">
      <c r="A118" s="2" t="s">
        <v>157</v>
      </c>
      <c r="B118" s="2" t="s">
        <v>269</v>
      </c>
    </row>
    <row r="119" spans="1:2" ht="18" x14ac:dyDescent="0.2">
      <c r="A119" s="2" t="s">
        <v>158</v>
      </c>
      <c r="B119" s="2" t="s">
        <v>270</v>
      </c>
    </row>
    <row r="120" spans="1:2" ht="18" x14ac:dyDescent="0.2">
      <c r="A120" s="2" t="s">
        <v>159</v>
      </c>
      <c r="B120" s="2" t="s">
        <v>271</v>
      </c>
    </row>
    <row r="121" spans="1:2" ht="18" x14ac:dyDescent="0.2">
      <c r="A121" s="2" t="s">
        <v>160</v>
      </c>
      <c r="B121" s="2" t="s">
        <v>160</v>
      </c>
    </row>
    <row r="122" spans="1:2" ht="18" x14ac:dyDescent="0.2">
      <c r="A122" s="2" t="s">
        <v>161</v>
      </c>
      <c r="B122" s="2" t="s">
        <v>161</v>
      </c>
    </row>
    <row r="123" spans="1:2" ht="18" x14ac:dyDescent="0.2">
      <c r="A123" s="2" t="s">
        <v>162</v>
      </c>
      <c r="B123" s="2" t="s">
        <v>162</v>
      </c>
    </row>
    <row r="124" spans="1:2" ht="18" x14ac:dyDescent="0.2">
      <c r="A124" s="2" t="s">
        <v>163</v>
      </c>
      <c r="B124" s="2" t="s">
        <v>163</v>
      </c>
    </row>
    <row r="125" spans="1:2" ht="18" x14ac:dyDescent="0.2">
      <c r="A125" s="2" t="s">
        <v>164</v>
      </c>
      <c r="B125" s="2" t="s">
        <v>164</v>
      </c>
    </row>
    <row r="126" spans="1:2" ht="18" x14ac:dyDescent="0.2">
      <c r="A126" s="2" t="s">
        <v>165</v>
      </c>
      <c r="B126" s="2" t="s">
        <v>165</v>
      </c>
    </row>
    <row r="127" spans="1:2" ht="18" x14ac:dyDescent="0.2">
      <c r="A127" s="2" t="s">
        <v>166</v>
      </c>
      <c r="B127" s="2" t="s">
        <v>166</v>
      </c>
    </row>
    <row r="128" spans="1:2" ht="18" x14ac:dyDescent="0.2">
      <c r="A128" s="2" t="s">
        <v>167</v>
      </c>
      <c r="B128" s="2" t="s">
        <v>167</v>
      </c>
    </row>
    <row r="129" spans="1:2" ht="18" x14ac:dyDescent="0.2">
      <c r="A129" s="2" t="s">
        <v>168</v>
      </c>
      <c r="B129" s="2" t="s">
        <v>168</v>
      </c>
    </row>
    <row r="130" spans="1:2" ht="18" x14ac:dyDescent="0.2">
      <c r="A130" s="2" t="s">
        <v>169</v>
      </c>
      <c r="B130" s="2" t="s">
        <v>169</v>
      </c>
    </row>
    <row r="131" spans="1:2" ht="18" x14ac:dyDescent="0.2">
      <c r="A131" s="2" t="s">
        <v>170</v>
      </c>
      <c r="B131" s="2" t="s">
        <v>170</v>
      </c>
    </row>
    <row r="132" spans="1:2" ht="18" x14ac:dyDescent="0.2">
      <c r="A132" s="2" t="s">
        <v>171</v>
      </c>
      <c r="B132" s="2" t="s">
        <v>171</v>
      </c>
    </row>
    <row r="133" spans="1:2" ht="18" x14ac:dyDescent="0.2">
      <c r="A133" s="2" t="s">
        <v>172</v>
      </c>
      <c r="B133" s="2" t="s">
        <v>172</v>
      </c>
    </row>
    <row r="134" spans="1:2" ht="18" x14ac:dyDescent="0.2">
      <c r="A134" s="2" t="s">
        <v>173</v>
      </c>
      <c r="B134" s="2" t="s">
        <v>173</v>
      </c>
    </row>
    <row r="135" spans="1:2" ht="18" x14ac:dyDescent="0.2">
      <c r="A135" s="2" t="s">
        <v>174</v>
      </c>
      <c r="B135" s="2" t="s">
        <v>272</v>
      </c>
    </row>
    <row r="136" spans="1:2" ht="18" x14ac:dyDescent="0.2">
      <c r="A136" s="2" t="s">
        <v>175</v>
      </c>
      <c r="B136" s="2" t="s">
        <v>273</v>
      </c>
    </row>
    <row r="137" spans="1:2" ht="18" x14ac:dyDescent="0.2">
      <c r="A137" s="2" t="s">
        <v>176</v>
      </c>
      <c r="B137" s="2" t="s">
        <v>274</v>
      </c>
    </row>
    <row r="138" spans="1:2" ht="18" x14ac:dyDescent="0.2">
      <c r="A138" s="2" t="s">
        <v>177</v>
      </c>
      <c r="B138" s="2" t="s">
        <v>275</v>
      </c>
    </row>
    <row r="139" spans="1:2" ht="18" x14ac:dyDescent="0.2">
      <c r="A139" s="2" t="s">
        <v>178</v>
      </c>
      <c r="B139" s="2" t="s">
        <v>276</v>
      </c>
    </row>
    <row r="140" spans="1:2" ht="18" x14ac:dyDescent="0.2">
      <c r="A140" s="2" t="s">
        <v>179</v>
      </c>
      <c r="B140" s="2" t="s">
        <v>277</v>
      </c>
    </row>
    <row r="141" spans="1:2" ht="18" x14ac:dyDescent="0.2">
      <c r="A141" s="2" t="s">
        <v>180</v>
      </c>
      <c r="B141" s="2" t="s">
        <v>278</v>
      </c>
    </row>
    <row r="142" spans="1:2" ht="18" x14ac:dyDescent="0.2">
      <c r="A142" s="2" t="s">
        <v>181</v>
      </c>
      <c r="B142" s="2" t="s">
        <v>279</v>
      </c>
    </row>
    <row r="143" spans="1:2" ht="18" x14ac:dyDescent="0.2">
      <c r="A143" s="2" t="s">
        <v>182</v>
      </c>
      <c r="B143" s="2" t="s">
        <v>280</v>
      </c>
    </row>
    <row r="144" spans="1:2" ht="18" x14ac:dyDescent="0.2">
      <c r="A144" s="2" t="s">
        <v>183</v>
      </c>
      <c r="B144" s="2" t="s">
        <v>281</v>
      </c>
    </row>
    <row r="145" spans="1:2" ht="18" x14ac:dyDescent="0.2">
      <c r="A145" s="2" t="s">
        <v>184</v>
      </c>
      <c r="B145" s="2" t="s">
        <v>282</v>
      </c>
    </row>
    <row r="146" spans="1:2" ht="18" x14ac:dyDescent="0.2">
      <c r="A146" s="2" t="s">
        <v>185</v>
      </c>
      <c r="B146" s="2" t="s">
        <v>283</v>
      </c>
    </row>
    <row r="147" spans="1:2" ht="18" x14ac:dyDescent="0.2">
      <c r="A147" s="2" t="s">
        <v>186</v>
      </c>
      <c r="B147" s="2" t="s">
        <v>284</v>
      </c>
    </row>
    <row r="148" spans="1:2" ht="18" x14ac:dyDescent="0.2">
      <c r="A148" s="2" t="s">
        <v>187</v>
      </c>
      <c r="B148" s="2" t="s">
        <v>285</v>
      </c>
    </row>
    <row r="149" spans="1:2" ht="18" x14ac:dyDescent="0.2">
      <c r="A149" s="2" t="s">
        <v>188</v>
      </c>
      <c r="B149" s="2" t="s">
        <v>286</v>
      </c>
    </row>
    <row r="150" spans="1:2" ht="18" x14ac:dyDescent="0.2">
      <c r="A150" s="2" t="s">
        <v>189</v>
      </c>
      <c r="B150" s="2" t="s">
        <v>287</v>
      </c>
    </row>
    <row r="151" spans="1:2" ht="18" x14ac:dyDescent="0.2">
      <c r="A151" s="2" t="s">
        <v>190</v>
      </c>
      <c r="B151" s="2" t="s">
        <v>288</v>
      </c>
    </row>
    <row r="152" spans="1:2" ht="18" x14ac:dyDescent="0.2">
      <c r="A152" s="2" t="s">
        <v>191</v>
      </c>
      <c r="B152" s="2" t="s">
        <v>289</v>
      </c>
    </row>
  </sheetData>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E76F4-4614-B64E-8162-A4532B3ACF0C}">
  <dimension ref="A1:J42"/>
  <sheetViews>
    <sheetView tabSelected="1" topLeftCell="A20" workbookViewId="0">
      <selection activeCell="A35" sqref="A35:XFD35"/>
    </sheetView>
  </sheetViews>
  <sheetFormatPr baseColWidth="10" defaultRowHeight="16" x14ac:dyDescent="0.2"/>
  <cols>
    <col min="2" max="2" width="54.1640625" customWidth="1"/>
    <col min="3" max="3" width="79.83203125" customWidth="1"/>
    <col min="5" max="5" width="72.6640625" customWidth="1"/>
    <col min="6" max="6" width="40.33203125" customWidth="1"/>
  </cols>
  <sheetData>
    <row r="1" spans="1:10" x14ac:dyDescent="0.2">
      <c r="A1" t="s">
        <v>801</v>
      </c>
      <c r="B1" s="4" t="s">
        <v>353</v>
      </c>
      <c r="C1" s="3" t="s">
        <v>314</v>
      </c>
      <c r="D1" s="4" t="s">
        <v>315</v>
      </c>
      <c r="E1" s="4" t="s">
        <v>317</v>
      </c>
      <c r="F1" s="4" t="s">
        <v>316</v>
      </c>
      <c r="G1" s="4" t="s">
        <v>320</v>
      </c>
      <c r="H1" s="4" t="s">
        <v>1054</v>
      </c>
      <c r="I1" s="4" t="s">
        <v>322</v>
      </c>
      <c r="J1" s="4" t="s">
        <v>1361</v>
      </c>
    </row>
    <row r="2" spans="1:10" ht="18" x14ac:dyDescent="0.2">
      <c r="A2">
        <v>1</v>
      </c>
      <c r="B2" s="2" t="s">
        <v>756</v>
      </c>
      <c r="C2" s="2" t="s">
        <v>790</v>
      </c>
      <c r="D2">
        <v>717</v>
      </c>
      <c r="E2" t="s">
        <v>1364</v>
      </c>
      <c r="F2" t="s">
        <v>1373</v>
      </c>
      <c r="G2" t="s">
        <v>360</v>
      </c>
      <c r="I2">
        <v>1</v>
      </c>
      <c r="J2">
        <f>SUM(H2+I2)</f>
        <v>1</v>
      </c>
    </row>
    <row r="3" spans="1:10" ht="18" x14ac:dyDescent="0.2">
      <c r="A3">
        <v>2</v>
      </c>
      <c r="B3" s="2" t="s">
        <v>757</v>
      </c>
      <c r="C3" s="2" t="s">
        <v>792</v>
      </c>
      <c r="D3">
        <v>660</v>
      </c>
      <c r="E3" t="s">
        <v>791</v>
      </c>
      <c r="F3" t="s">
        <v>1373</v>
      </c>
      <c r="G3" t="s">
        <v>793</v>
      </c>
      <c r="I3">
        <v>1</v>
      </c>
      <c r="J3">
        <f t="shared" ref="J3:J42" si="0">SUM(H3+I3)</f>
        <v>1</v>
      </c>
    </row>
    <row r="4" spans="1:10" ht="18" x14ac:dyDescent="0.2">
      <c r="A4">
        <v>3</v>
      </c>
      <c r="B4" s="2" t="s">
        <v>758</v>
      </c>
      <c r="C4" s="2" t="s">
        <v>794</v>
      </c>
      <c r="D4">
        <v>784</v>
      </c>
      <c r="E4" t="s">
        <v>795</v>
      </c>
      <c r="F4" t="s">
        <v>1366</v>
      </c>
      <c r="G4" s="5" t="s">
        <v>1367</v>
      </c>
      <c r="H4" s="5"/>
      <c r="I4">
        <v>1</v>
      </c>
      <c r="J4">
        <f t="shared" si="0"/>
        <v>1</v>
      </c>
    </row>
    <row r="5" spans="1:10" ht="18" x14ac:dyDescent="0.2">
      <c r="A5">
        <v>4</v>
      </c>
      <c r="B5" s="2" t="s">
        <v>759</v>
      </c>
      <c r="C5" s="2" t="s">
        <v>796</v>
      </c>
      <c r="D5">
        <v>742</v>
      </c>
      <c r="E5" t="s">
        <v>797</v>
      </c>
      <c r="F5" t="s">
        <v>798</v>
      </c>
      <c r="G5" t="s">
        <v>368</v>
      </c>
      <c r="H5">
        <v>1</v>
      </c>
      <c r="J5">
        <f t="shared" si="0"/>
        <v>1</v>
      </c>
    </row>
    <row r="6" spans="1:10" ht="19" customHeight="1" x14ac:dyDescent="0.2">
      <c r="A6">
        <v>5</v>
      </c>
      <c r="B6" s="2" t="s">
        <v>760</v>
      </c>
      <c r="C6" s="2" t="s">
        <v>799</v>
      </c>
      <c r="D6">
        <v>754</v>
      </c>
      <c r="E6" t="s">
        <v>797</v>
      </c>
      <c r="F6" t="s">
        <v>798</v>
      </c>
      <c r="G6" t="s">
        <v>800</v>
      </c>
      <c r="H6">
        <v>1</v>
      </c>
      <c r="J6">
        <f t="shared" si="0"/>
        <v>1</v>
      </c>
    </row>
    <row r="7" spans="1:10" ht="18" x14ac:dyDescent="0.2">
      <c r="A7">
        <v>6</v>
      </c>
      <c r="B7" s="2" t="s">
        <v>761</v>
      </c>
      <c r="C7" s="2" t="s">
        <v>802</v>
      </c>
      <c r="D7">
        <v>712</v>
      </c>
      <c r="E7" t="s">
        <v>803</v>
      </c>
      <c r="F7" t="s">
        <v>805</v>
      </c>
      <c r="G7" t="s">
        <v>804</v>
      </c>
      <c r="I7">
        <v>1</v>
      </c>
      <c r="J7">
        <f t="shared" si="0"/>
        <v>1</v>
      </c>
    </row>
    <row r="8" spans="1:10" ht="18" x14ac:dyDescent="0.2">
      <c r="A8">
        <v>7</v>
      </c>
      <c r="B8" s="2" t="s">
        <v>762</v>
      </c>
      <c r="C8" s="2" t="s">
        <v>806</v>
      </c>
      <c r="D8">
        <v>782</v>
      </c>
      <c r="E8" t="s">
        <v>807</v>
      </c>
      <c r="F8" t="s">
        <v>798</v>
      </c>
      <c r="G8" t="s">
        <v>808</v>
      </c>
      <c r="H8">
        <v>1</v>
      </c>
      <c r="J8">
        <f t="shared" si="0"/>
        <v>1</v>
      </c>
    </row>
    <row r="9" spans="1:10" ht="18" x14ac:dyDescent="0.2">
      <c r="A9">
        <v>8</v>
      </c>
      <c r="B9" s="2" t="s">
        <v>763</v>
      </c>
      <c r="C9" s="2" t="s">
        <v>809</v>
      </c>
      <c r="D9">
        <v>758</v>
      </c>
      <c r="E9" t="s">
        <v>810</v>
      </c>
      <c r="F9" t="s">
        <v>798</v>
      </c>
      <c r="G9" t="s">
        <v>811</v>
      </c>
      <c r="H9">
        <v>1</v>
      </c>
      <c r="J9">
        <f t="shared" si="0"/>
        <v>1</v>
      </c>
    </row>
    <row r="10" spans="1:10" ht="19" customHeight="1" x14ac:dyDescent="0.2">
      <c r="A10">
        <v>9</v>
      </c>
      <c r="B10" s="2" t="s">
        <v>764</v>
      </c>
      <c r="C10" s="2" t="s">
        <v>812</v>
      </c>
      <c r="D10">
        <v>710</v>
      </c>
      <c r="E10" t="s">
        <v>797</v>
      </c>
      <c r="F10" t="s">
        <v>798</v>
      </c>
      <c r="G10" t="s">
        <v>814</v>
      </c>
      <c r="H10">
        <v>1</v>
      </c>
      <c r="J10">
        <f t="shared" si="0"/>
        <v>1</v>
      </c>
    </row>
    <row r="11" spans="1:10" ht="18" x14ac:dyDescent="0.2">
      <c r="A11">
        <v>9</v>
      </c>
      <c r="B11" s="2" t="s">
        <v>764</v>
      </c>
      <c r="C11" s="2" t="s">
        <v>813</v>
      </c>
      <c r="D11">
        <v>715</v>
      </c>
      <c r="E11" t="s">
        <v>797</v>
      </c>
      <c r="F11" t="s">
        <v>798</v>
      </c>
      <c r="G11" t="s">
        <v>814</v>
      </c>
      <c r="H11">
        <v>1</v>
      </c>
      <c r="J11">
        <f t="shared" si="0"/>
        <v>1</v>
      </c>
    </row>
    <row r="12" spans="1:10" ht="18" x14ac:dyDescent="0.2">
      <c r="B12" s="9">
        <v>651</v>
      </c>
      <c r="C12" s="2" t="s">
        <v>821</v>
      </c>
      <c r="E12" t="s">
        <v>797</v>
      </c>
      <c r="F12" t="s">
        <v>1046</v>
      </c>
      <c r="G12" t="s">
        <v>814</v>
      </c>
      <c r="I12">
        <v>1</v>
      </c>
      <c r="J12">
        <f t="shared" si="0"/>
        <v>1</v>
      </c>
    </row>
    <row r="13" spans="1:10" ht="18" x14ac:dyDescent="0.2">
      <c r="A13">
        <v>10</v>
      </c>
      <c r="B13" s="2" t="s">
        <v>765</v>
      </c>
      <c r="C13" s="2" t="s">
        <v>815</v>
      </c>
      <c r="D13">
        <v>667</v>
      </c>
      <c r="E13" t="s">
        <v>816</v>
      </c>
      <c r="F13" t="s">
        <v>817</v>
      </c>
      <c r="I13">
        <v>1</v>
      </c>
      <c r="J13">
        <f t="shared" si="0"/>
        <v>1</v>
      </c>
    </row>
    <row r="14" spans="1:10" ht="18" x14ac:dyDescent="0.2">
      <c r="A14">
        <v>11</v>
      </c>
      <c r="B14" s="2" t="s">
        <v>766</v>
      </c>
      <c r="E14" t="s">
        <v>1371</v>
      </c>
      <c r="G14" t="s">
        <v>818</v>
      </c>
      <c r="H14">
        <v>1</v>
      </c>
      <c r="J14">
        <f t="shared" si="0"/>
        <v>1</v>
      </c>
    </row>
    <row r="15" spans="1:10" ht="18" x14ac:dyDescent="0.2">
      <c r="A15">
        <v>12</v>
      </c>
      <c r="B15" s="2" t="s">
        <v>767</v>
      </c>
      <c r="C15" s="2" t="s">
        <v>821</v>
      </c>
      <c r="E15" t="s">
        <v>820</v>
      </c>
      <c r="F15" t="s">
        <v>798</v>
      </c>
      <c r="G15" t="s">
        <v>819</v>
      </c>
      <c r="H15">
        <v>1</v>
      </c>
      <c r="J15">
        <f t="shared" si="0"/>
        <v>1</v>
      </c>
    </row>
    <row r="16" spans="1:10" ht="18" x14ac:dyDescent="0.2">
      <c r="A16">
        <v>13</v>
      </c>
      <c r="B16" s="2" t="s">
        <v>768</v>
      </c>
      <c r="C16" s="5" t="s">
        <v>999</v>
      </c>
      <c r="D16">
        <v>718</v>
      </c>
      <c r="E16" t="s">
        <v>1000</v>
      </c>
      <c r="F16" t="s">
        <v>798</v>
      </c>
      <c r="G16" t="s">
        <v>1001</v>
      </c>
      <c r="H16">
        <v>1</v>
      </c>
      <c r="J16">
        <f t="shared" si="0"/>
        <v>1</v>
      </c>
    </row>
    <row r="17" spans="1:10" ht="18" x14ac:dyDescent="0.2">
      <c r="A17">
        <v>14</v>
      </c>
      <c r="B17" s="2" t="s">
        <v>769</v>
      </c>
      <c r="C17" s="5" t="s">
        <v>1003</v>
      </c>
      <c r="D17">
        <v>690</v>
      </c>
      <c r="E17" t="s">
        <v>1002</v>
      </c>
      <c r="F17" t="s">
        <v>798</v>
      </c>
      <c r="G17" t="s">
        <v>1004</v>
      </c>
      <c r="H17">
        <v>1</v>
      </c>
      <c r="J17">
        <f t="shared" si="0"/>
        <v>1</v>
      </c>
    </row>
    <row r="18" spans="1:10" ht="18" x14ac:dyDescent="0.2">
      <c r="A18">
        <v>15</v>
      </c>
      <c r="B18" s="2" t="s">
        <v>770</v>
      </c>
      <c r="C18" s="5" t="s">
        <v>484</v>
      </c>
      <c r="D18">
        <v>788</v>
      </c>
      <c r="E18" t="s">
        <v>1005</v>
      </c>
      <c r="F18" t="s">
        <v>1373</v>
      </c>
      <c r="G18" s="8" t="s">
        <v>1006</v>
      </c>
      <c r="H18" s="8"/>
      <c r="I18">
        <v>1</v>
      </c>
      <c r="J18">
        <f t="shared" si="0"/>
        <v>1</v>
      </c>
    </row>
    <row r="19" spans="1:10" ht="18" x14ac:dyDescent="0.2">
      <c r="A19">
        <v>15</v>
      </c>
      <c r="B19" s="2" t="s">
        <v>770</v>
      </c>
      <c r="C19" s="5" t="s">
        <v>494</v>
      </c>
      <c r="D19">
        <v>789</v>
      </c>
      <c r="E19" t="s">
        <v>1005</v>
      </c>
      <c r="F19" t="s">
        <v>1373</v>
      </c>
      <c r="G19" s="8" t="s">
        <v>1006</v>
      </c>
      <c r="H19" s="8"/>
      <c r="I19">
        <v>1</v>
      </c>
      <c r="J19">
        <f t="shared" si="0"/>
        <v>1</v>
      </c>
    </row>
    <row r="20" spans="1:10" ht="18" x14ac:dyDescent="0.2">
      <c r="A20">
        <v>16</v>
      </c>
      <c r="B20" s="2" t="s">
        <v>771</v>
      </c>
      <c r="C20" s="5" t="s">
        <v>1007</v>
      </c>
      <c r="D20">
        <v>725</v>
      </c>
      <c r="E20" t="s">
        <v>807</v>
      </c>
      <c r="F20" t="s">
        <v>798</v>
      </c>
      <c r="G20" t="s">
        <v>1008</v>
      </c>
      <c r="H20">
        <v>1</v>
      </c>
      <c r="J20">
        <f t="shared" si="0"/>
        <v>1</v>
      </c>
    </row>
    <row r="21" spans="1:10" ht="18" x14ac:dyDescent="0.2">
      <c r="A21">
        <v>16</v>
      </c>
      <c r="B21" s="2" t="s">
        <v>771</v>
      </c>
      <c r="C21" s="5" t="s">
        <v>1009</v>
      </c>
      <c r="D21">
        <v>639</v>
      </c>
      <c r="E21" t="s">
        <v>1011</v>
      </c>
      <c r="F21" t="s">
        <v>798</v>
      </c>
      <c r="G21" t="s">
        <v>1008</v>
      </c>
      <c r="H21">
        <v>1</v>
      </c>
      <c r="J21">
        <f t="shared" si="0"/>
        <v>1</v>
      </c>
    </row>
    <row r="22" spans="1:10" ht="18" x14ac:dyDescent="0.2">
      <c r="A22">
        <v>16</v>
      </c>
      <c r="B22" s="2" t="s">
        <v>771</v>
      </c>
      <c r="C22" s="5" t="s">
        <v>1010</v>
      </c>
      <c r="D22">
        <v>639</v>
      </c>
      <c r="E22" t="s">
        <v>1011</v>
      </c>
      <c r="F22" t="s">
        <v>798</v>
      </c>
      <c r="G22" t="s">
        <v>1008</v>
      </c>
      <c r="H22">
        <v>1</v>
      </c>
      <c r="J22">
        <f t="shared" si="0"/>
        <v>1</v>
      </c>
    </row>
    <row r="23" spans="1:10" ht="18" x14ac:dyDescent="0.2">
      <c r="A23">
        <v>17</v>
      </c>
      <c r="B23" s="2" t="s">
        <v>772</v>
      </c>
      <c r="C23" s="5" t="s">
        <v>821</v>
      </c>
      <c r="E23" t="s">
        <v>1012</v>
      </c>
      <c r="F23" t="s">
        <v>798</v>
      </c>
      <c r="G23" t="s">
        <v>1013</v>
      </c>
      <c r="H23">
        <v>1</v>
      </c>
      <c r="J23">
        <f t="shared" si="0"/>
        <v>1</v>
      </c>
    </row>
    <row r="24" spans="1:10" ht="19" customHeight="1" x14ac:dyDescent="0.2">
      <c r="A24">
        <v>18</v>
      </c>
      <c r="B24" s="2" t="s">
        <v>773</v>
      </c>
      <c r="C24" s="5" t="s">
        <v>821</v>
      </c>
      <c r="E24" t="s">
        <v>1014</v>
      </c>
      <c r="F24" t="s">
        <v>1015</v>
      </c>
      <c r="G24" t="s">
        <v>1016</v>
      </c>
      <c r="H24">
        <v>1</v>
      </c>
      <c r="J24">
        <f t="shared" si="0"/>
        <v>1</v>
      </c>
    </row>
    <row r="25" spans="1:10" ht="18" x14ac:dyDescent="0.2">
      <c r="A25">
        <v>19</v>
      </c>
      <c r="B25" s="2" t="s">
        <v>774</v>
      </c>
      <c r="C25" s="5" t="s">
        <v>821</v>
      </c>
      <c r="E25" t="s">
        <v>1018</v>
      </c>
      <c r="F25" t="s">
        <v>1015</v>
      </c>
      <c r="G25" t="s">
        <v>1017</v>
      </c>
      <c r="H25">
        <v>1</v>
      </c>
      <c r="J25">
        <f t="shared" si="0"/>
        <v>1</v>
      </c>
    </row>
    <row r="26" spans="1:10" ht="18" x14ac:dyDescent="0.2">
      <c r="A26">
        <v>20</v>
      </c>
      <c r="B26" s="2" t="s">
        <v>775</v>
      </c>
      <c r="C26" s="5" t="s">
        <v>821</v>
      </c>
      <c r="E26" t="s">
        <v>807</v>
      </c>
      <c r="F26" t="s">
        <v>798</v>
      </c>
      <c r="G26" t="s">
        <v>652</v>
      </c>
      <c r="H26">
        <v>1</v>
      </c>
      <c r="J26">
        <f t="shared" si="0"/>
        <v>1</v>
      </c>
    </row>
    <row r="27" spans="1:10" ht="18" x14ac:dyDescent="0.2">
      <c r="A27">
        <v>21</v>
      </c>
      <c r="B27" s="2" t="s">
        <v>776</v>
      </c>
      <c r="C27" s="5" t="s">
        <v>821</v>
      </c>
      <c r="E27" t="s">
        <v>807</v>
      </c>
      <c r="F27" t="s">
        <v>798</v>
      </c>
      <c r="G27" s="5" t="s">
        <v>1019</v>
      </c>
      <c r="H27" s="5">
        <v>1</v>
      </c>
      <c r="J27">
        <f t="shared" si="0"/>
        <v>1</v>
      </c>
    </row>
    <row r="28" spans="1:10" ht="18" x14ac:dyDescent="0.2">
      <c r="A28">
        <v>23</v>
      </c>
      <c r="B28" s="2" t="s">
        <v>777</v>
      </c>
      <c r="C28" s="5" t="s">
        <v>1020</v>
      </c>
      <c r="D28">
        <v>719</v>
      </c>
      <c r="E28" t="s">
        <v>1021</v>
      </c>
      <c r="F28" t="s">
        <v>1022</v>
      </c>
      <c r="G28" t="s">
        <v>1023</v>
      </c>
      <c r="J28">
        <f t="shared" si="0"/>
        <v>0</v>
      </c>
    </row>
    <row r="29" spans="1:10" ht="18" x14ac:dyDescent="0.2">
      <c r="A29">
        <v>24</v>
      </c>
      <c r="B29" s="2" t="s">
        <v>778</v>
      </c>
      <c r="C29" s="5" t="s">
        <v>1025</v>
      </c>
      <c r="D29">
        <v>695</v>
      </c>
      <c r="E29" t="s">
        <v>1021</v>
      </c>
      <c r="F29" t="s">
        <v>1022</v>
      </c>
      <c r="G29" t="s">
        <v>1024</v>
      </c>
      <c r="J29">
        <f t="shared" si="0"/>
        <v>0</v>
      </c>
    </row>
    <row r="30" spans="1:10" ht="18" x14ac:dyDescent="0.2">
      <c r="A30">
        <v>25</v>
      </c>
      <c r="B30" s="2" t="s">
        <v>779</v>
      </c>
      <c r="C30" s="5" t="s">
        <v>1026</v>
      </c>
      <c r="D30">
        <v>680</v>
      </c>
      <c r="E30" t="s">
        <v>1002</v>
      </c>
      <c r="F30" t="s">
        <v>1015</v>
      </c>
      <c r="G30" t="s">
        <v>1027</v>
      </c>
      <c r="H30">
        <v>1</v>
      </c>
      <c r="J30">
        <f t="shared" si="0"/>
        <v>1</v>
      </c>
    </row>
    <row r="31" spans="1:10" ht="18" x14ac:dyDescent="0.2">
      <c r="A31">
        <v>26</v>
      </c>
      <c r="B31" s="2" t="s">
        <v>780</v>
      </c>
      <c r="E31" t="s">
        <v>1029</v>
      </c>
      <c r="F31" t="s">
        <v>1368</v>
      </c>
      <c r="G31" t="s">
        <v>1028</v>
      </c>
      <c r="I31">
        <v>1</v>
      </c>
      <c r="J31">
        <f t="shared" si="0"/>
        <v>1</v>
      </c>
    </row>
    <row r="32" spans="1:10" ht="18" x14ac:dyDescent="0.2">
      <c r="A32">
        <v>26</v>
      </c>
      <c r="B32" s="2" t="s">
        <v>780</v>
      </c>
      <c r="D32">
        <v>606</v>
      </c>
      <c r="E32" t="s">
        <v>1030</v>
      </c>
      <c r="F32" t="s">
        <v>1368</v>
      </c>
      <c r="G32" t="s">
        <v>1028</v>
      </c>
      <c r="I32">
        <v>1</v>
      </c>
      <c r="J32">
        <f t="shared" si="0"/>
        <v>1</v>
      </c>
    </row>
    <row r="33" spans="1:10" ht="18" x14ac:dyDescent="0.2">
      <c r="A33">
        <v>27</v>
      </c>
      <c r="B33" s="2" t="s">
        <v>781</v>
      </c>
      <c r="D33">
        <v>618</v>
      </c>
      <c r="E33" t="s">
        <v>1021</v>
      </c>
      <c r="F33" t="s">
        <v>1031</v>
      </c>
      <c r="G33" t="s">
        <v>1032</v>
      </c>
      <c r="H33">
        <v>1</v>
      </c>
      <c r="J33">
        <f t="shared" si="0"/>
        <v>1</v>
      </c>
    </row>
    <row r="34" spans="1:10" ht="18" x14ac:dyDescent="0.2">
      <c r="A34">
        <v>28</v>
      </c>
      <c r="B34" s="2" t="s">
        <v>782</v>
      </c>
      <c r="C34" s="5" t="s">
        <v>1033</v>
      </c>
      <c r="D34">
        <v>699</v>
      </c>
      <c r="E34" t="s">
        <v>1021</v>
      </c>
      <c r="F34" t="s">
        <v>1022</v>
      </c>
      <c r="G34" t="s">
        <v>1034</v>
      </c>
      <c r="J34">
        <f t="shared" si="0"/>
        <v>0</v>
      </c>
    </row>
    <row r="35" spans="1:10" ht="18" x14ac:dyDescent="0.2">
      <c r="A35">
        <v>29</v>
      </c>
      <c r="B35" s="2" t="s">
        <v>783</v>
      </c>
      <c r="C35" s="5" t="s">
        <v>512</v>
      </c>
      <c r="D35">
        <v>673</v>
      </c>
      <c r="E35" t="s">
        <v>1383</v>
      </c>
      <c r="F35" t="s">
        <v>1035</v>
      </c>
      <c r="G35" t="s">
        <v>517</v>
      </c>
      <c r="I35">
        <v>1</v>
      </c>
      <c r="J35">
        <f t="shared" si="0"/>
        <v>1</v>
      </c>
    </row>
    <row r="36" spans="1:10" ht="18" x14ac:dyDescent="0.2">
      <c r="A36">
        <v>30</v>
      </c>
      <c r="B36" s="2" t="s">
        <v>784</v>
      </c>
      <c r="D36">
        <v>641</v>
      </c>
      <c r="E36" t="s">
        <v>1036</v>
      </c>
      <c r="F36" t="s">
        <v>798</v>
      </c>
      <c r="G36" t="s">
        <v>1038</v>
      </c>
      <c r="H36">
        <v>1</v>
      </c>
      <c r="J36">
        <f t="shared" si="0"/>
        <v>1</v>
      </c>
    </row>
    <row r="37" spans="1:10" ht="18" x14ac:dyDescent="0.2">
      <c r="A37">
        <v>31</v>
      </c>
      <c r="B37" s="2" t="s">
        <v>785</v>
      </c>
      <c r="C37" t="s">
        <v>821</v>
      </c>
      <c r="E37" t="s">
        <v>807</v>
      </c>
      <c r="F37" t="s">
        <v>798</v>
      </c>
      <c r="G37" t="s">
        <v>1037</v>
      </c>
      <c r="H37">
        <v>1</v>
      </c>
      <c r="J37">
        <f t="shared" si="0"/>
        <v>1</v>
      </c>
    </row>
    <row r="38" spans="1:10" ht="18" x14ac:dyDescent="0.2">
      <c r="A38">
        <v>32</v>
      </c>
      <c r="B38" s="2" t="s">
        <v>786</v>
      </c>
      <c r="C38" t="s">
        <v>821</v>
      </c>
      <c r="E38" t="s">
        <v>1039</v>
      </c>
      <c r="F38" t="s">
        <v>1015</v>
      </c>
      <c r="G38" t="s">
        <v>1041</v>
      </c>
      <c r="H38">
        <v>1</v>
      </c>
      <c r="J38">
        <f t="shared" si="0"/>
        <v>1</v>
      </c>
    </row>
    <row r="39" spans="1:10" ht="18" x14ac:dyDescent="0.2">
      <c r="A39">
        <v>33</v>
      </c>
      <c r="B39" s="2" t="s">
        <v>787</v>
      </c>
      <c r="C39" t="s">
        <v>821</v>
      </c>
      <c r="E39" t="s">
        <v>1039</v>
      </c>
      <c r="F39" t="s">
        <v>1015</v>
      </c>
      <c r="G39" t="s">
        <v>1040</v>
      </c>
      <c r="H39">
        <v>1</v>
      </c>
      <c r="J39">
        <f t="shared" si="0"/>
        <v>1</v>
      </c>
    </row>
    <row r="40" spans="1:10" ht="18" x14ac:dyDescent="0.2">
      <c r="A40">
        <v>34</v>
      </c>
      <c r="B40" s="2" t="s">
        <v>788</v>
      </c>
      <c r="C40" s="5" t="s">
        <v>821</v>
      </c>
      <c r="D40">
        <v>569</v>
      </c>
      <c r="E40" t="s">
        <v>1369</v>
      </c>
      <c r="F40" t="s">
        <v>1370</v>
      </c>
      <c r="G40" t="s">
        <v>1042</v>
      </c>
      <c r="I40">
        <v>1</v>
      </c>
      <c r="J40">
        <f t="shared" si="0"/>
        <v>1</v>
      </c>
    </row>
    <row r="41" spans="1:10" ht="18" x14ac:dyDescent="0.2">
      <c r="A41">
        <v>35</v>
      </c>
      <c r="B41" s="2" t="s">
        <v>789</v>
      </c>
      <c r="C41" t="s">
        <v>1044</v>
      </c>
      <c r="D41">
        <v>632</v>
      </c>
      <c r="E41" t="s">
        <v>1036</v>
      </c>
      <c r="F41" t="s">
        <v>798</v>
      </c>
      <c r="G41" s="5" t="s">
        <v>1043</v>
      </c>
      <c r="H41" s="5">
        <v>1</v>
      </c>
      <c r="J41">
        <f t="shared" si="0"/>
        <v>1</v>
      </c>
    </row>
    <row r="42" spans="1:10" ht="18" x14ac:dyDescent="0.2">
      <c r="A42">
        <v>35</v>
      </c>
      <c r="B42" s="2" t="s">
        <v>789</v>
      </c>
      <c r="C42" t="s">
        <v>1045</v>
      </c>
      <c r="D42">
        <v>632</v>
      </c>
      <c r="E42" t="s">
        <v>1036</v>
      </c>
      <c r="F42" t="s">
        <v>798</v>
      </c>
      <c r="G42" s="5" t="s">
        <v>1043</v>
      </c>
      <c r="H42" s="5">
        <v>1</v>
      </c>
      <c r="J42">
        <f t="shared" si="0"/>
        <v>1</v>
      </c>
    </row>
  </sheetData>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0F570-50FA-E440-A89B-AD7E4DDAA86F}">
  <dimension ref="A1:H177"/>
  <sheetViews>
    <sheetView workbookViewId="0">
      <pane ySplit="1" topLeftCell="A24" activePane="bottomLeft" state="frozen"/>
      <selection pane="bottomLeft" activeCell="B37" sqref="B37"/>
    </sheetView>
  </sheetViews>
  <sheetFormatPr baseColWidth="10" defaultRowHeight="16" x14ac:dyDescent="0.2"/>
  <cols>
    <col min="2" max="2" width="62.33203125" customWidth="1"/>
    <col min="3" max="5" width="10.5" customWidth="1"/>
    <col min="6" max="6" width="27.1640625" customWidth="1"/>
  </cols>
  <sheetData>
    <row r="1" spans="1:8" x14ac:dyDescent="0.2">
      <c r="B1" s="4" t="s">
        <v>822</v>
      </c>
      <c r="C1" s="3" t="s">
        <v>401</v>
      </c>
      <c r="D1" s="4" t="s">
        <v>402</v>
      </c>
      <c r="E1" s="4" t="s">
        <v>315</v>
      </c>
      <c r="F1" s="4" t="s">
        <v>317</v>
      </c>
      <c r="G1" s="4" t="s">
        <v>316</v>
      </c>
      <c r="H1" s="4" t="s">
        <v>322</v>
      </c>
    </row>
    <row r="2" spans="1:8" x14ac:dyDescent="0.2">
      <c r="A2" s="7">
        <v>81</v>
      </c>
      <c r="B2" s="7" t="s">
        <v>903</v>
      </c>
      <c r="C2" s="7">
        <v>2100</v>
      </c>
      <c r="D2" s="7">
        <v>19.100000000000001</v>
      </c>
      <c r="E2" s="7">
        <v>761</v>
      </c>
      <c r="F2" t="s">
        <v>1014</v>
      </c>
      <c r="G2" t="s">
        <v>1372</v>
      </c>
      <c r="H2">
        <v>1</v>
      </c>
    </row>
    <row r="3" spans="1:8" x14ac:dyDescent="0.2">
      <c r="A3" s="7">
        <v>38</v>
      </c>
      <c r="B3" s="7" t="s">
        <v>860</v>
      </c>
      <c r="C3" s="7">
        <v>1707</v>
      </c>
      <c r="D3" s="7">
        <v>18.57</v>
      </c>
      <c r="E3" s="7">
        <v>781</v>
      </c>
      <c r="F3" t="s">
        <v>1014</v>
      </c>
      <c r="G3" t="s">
        <v>1372</v>
      </c>
      <c r="H3">
        <v>1</v>
      </c>
    </row>
    <row r="4" spans="1:8" x14ac:dyDescent="0.2">
      <c r="A4" s="7">
        <v>3</v>
      </c>
      <c r="B4" s="7" t="s">
        <v>825</v>
      </c>
      <c r="C4" s="7">
        <v>1554</v>
      </c>
      <c r="D4" s="7">
        <v>25.23</v>
      </c>
      <c r="E4" s="7">
        <v>703</v>
      </c>
      <c r="F4" t="s">
        <v>1014</v>
      </c>
      <c r="G4" t="s">
        <v>1372</v>
      </c>
      <c r="H4">
        <v>1</v>
      </c>
    </row>
    <row r="5" spans="1:8" x14ac:dyDescent="0.2">
      <c r="A5" s="7">
        <v>76</v>
      </c>
      <c r="B5" s="7" t="s">
        <v>898</v>
      </c>
      <c r="C5" s="7">
        <v>1311</v>
      </c>
      <c r="D5" s="7">
        <v>17.09</v>
      </c>
      <c r="E5" s="7">
        <v>739</v>
      </c>
      <c r="F5" t="s">
        <v>1014</v>
      </c>
      <c r="G5" t="s">
        <v>1372</v>
      </c>
      <c r="H5">
        <v>1</v>
      </c>
    </row>
    <row r="6" spans="1:8" x14ac:dyDescent="0.2">
      <c r="A6" s="7">
        <v>12</v>
      </c>
      <c r="B6" s="7" t="s">
        <v>834</v>
      </c>
      <c r="C6" s="7">
        <v>1014</v>
      </c>
      <c r="D6" s="7">
        <v>19.72</v>
      </c>
      <c r="E6" s="7">
        <v>720</v>
      </c>
      <c r="F6" t="s">
        <v>1014</v>
      </c>
      <c r="G6" t="s">
        <v>1372</v>
      </c>
      <c r="H6">
        <v>1</v>
      </c>
    </row>
    <row r="7" spans="1:8" x14ac:dyDescent="0.2">
      <c r="A7" s="7">
        <v>15</v>
      </c>
      <c r="B7" s="7" t="s">
        <v>837</v>
      </c>
      <c r="C7" s="7">
        <v>900</v>
      </c>
      <c r="D7" s="7">
        <v>34.11</v>
      </c>
      <c r="E7" s="7">
        <v>647</v>
      </c>
      <c r="F7" t="s">
        <v>1014</v>
      </c>
      <c r="G7" t="s">
        <v>1372</v>
      </c>
      <c r="H7">
        <v>1</v>
      </c>
    </row>
    <row r="8" spans="1:8" x14ac:dyDescent="0.2">
      <c r="A8" s="7">
        <v>27</v>
      </c>
      <c r="B8" s="7" t="s">
        <v>849</v>
      </c>
      <c r="C8" s="7">
        <v>834</v>
      </c>
      <c r="D8" s="7">
        <v>26.26</v>
      </c>
      <c r="E8" s="7">
        <v>647</v>
      </c>
      <c r="F8" t="s">
        <v>1014</v>
      </c>
      <c r="G8" t="s">
        <v>1372</v>
      </c>
      <c r="H8">
        <v>1</v>
      </c>
    </row>
    <row r="9" spans="1:8" x14ac:dyDescent="0.2">
      <c r="A9" s="7">
        <v>95</v>
      </c>
      <c r="B9" s="7" t="s">
        <v>917</v>
      </c>
      <c r="C9" s="7">
        <v>732</v>
      </c>
      <c r="D9" s="7">
        <v>17.079999999999998</v>
      </c>
      <c r="E9" s="7">
        <v>764</v>
      </c>
      <c r="F9" t="s">
        <v>1363</v>
      </c>
      <c r="G9" t="s">
        <v>1372</v>
      </c>
      <c r="H9">
        <v>1</v>
      </c>
    </row>
    <row r="10" spans="1:8" x14ac:dyDescent="0.2">
      <c r="A10" s="7">
        <v>31</v>
      </c>
      <c r="B10" s="7" t="s">
        <v>853</v>
      </c>
      <c r="C10" s="7">
        <v>726</v>
      </c>
      <c r="D10" s="7">
        <v>18.600000000000001</v>
      </c>
      <c r="E10" s="7">
        <v>755</v>
      </c>
      <c r="F10" t="s">
        <v>1365</v>
      </c>
    </row>
    <row r="11" spans="1:8" x14ac:dyDescent="0.2">
      <c r="A11" s="7">
        <v>148</v>
      </c>
      <c r="B11" s="7" t="s">
        <v>970</v>
      </c>
      <c r="C11" s="7">
        <v>708</v>
      </c>
      <c r="D11" s="7">
        <v>17.66</v>
      </c>
      <c r="E11" s="7">
        <v>637</v>
      </c>
    </row>
    <row r="12" spans="1:8" x14ac:dyDescent="0.2">
      <c r="A12" s="7">
        <v>133</v>
      </c>
      <c r="B12" s="7" t="s">
        <v>955</v>
      </c>
      <c r="C12" s="7">
        <v>705</v>
      </c>
      <c r="D12" s="7">
        <v>27.66</v>
      </c>
      <c r="E12" s="7">
        <v>634</v>
      </c>
      <c r="F12" t="s">
        <v>1014</v>
      </c>
      <c r="G12" t="s">
        <v>1372</v>
      </c>
      <c r="H12">
        <v>1</v>
      </c>
    </row>
    <row r="13" spans="1:8" x14ac:dyDescent="0.2">
      <c r="A13" s="7">
        <v>79</v>
      </c>
      <c r="B13" s="7" t="s">
        <v>901</v>
      </c>
      <c r="C13" s="7">
        <v>678</v>
      </c>
      <c r="D13" s="7">
        <v>11.65</v>
      </c>
      <c r="E13" s="7">
        <v>637</v>
      </c>
    </row>
    <row r="14" spans="1:8" x14ac:dyDescent="0.2">
      <c r="A14" s="7">
        <v>80</v>
      </c>
      <c r="B14" s="7" t="s">
        <v>902</v>
      </c>
      <c r="C14" s="7">
        <v>678</v>
      </c>
      <c r="D14" s="7">
        <v>22.12</v>
      </c>
      <c r="E14" s="7">
        <v>760</v>
      </c>
      <c r="F14" t="s">
        <v>1014</v>
      </c>
      <c r="G14" t="s">
        <v>1372</v>
      </c>
      <c r="H14">
        <v>1</v>
      </c>
    </row>
    <row r="15" spans="1:8" x14ac:dyDescent="0.2">
      <c r="A15" s="7">
        <v>164</v>
      </c>
      <c r="B15" s="7" t="s">
        <v>986</v>
      </c>
      <c r="C15" s="7">
        <v>669</v>
      </c>
      <c r="D15" s="7">
        <v>30.64</v>
      </c>
      <c r="E15" s="7">
        <v>681</v>
      </c>
      <c r="F15" t="s">
        <v>1014</v>
      </c>
      <c r="G15" t="s">
        <v>1372</v>
      </c>
      <c r="H15">
        <v>1</v>
      </c>
    </row>
    <row r="16" spans="1:8" x14ac:dyDescent="0.2">
      <c r="A16" s="7">
        <v>105</v>
      </c>
      <c r="B16" s="7" t="s">
        <v>927</v>
      </c>
      <c r="C16" s="7">
        <v>621</v>
      </c>
      <c r="D16" s="7">
        <v>23.35</v>
      </c>
      <c r="E16" s="7">
        <v>634</v>
      </c>
      <c r="F16" t="s">
        <v>1014</v>
      </c>
      <c r="G16" t="s">
        <v>1372</v>
      </c>
      <c r="H16">
        <v>1</v>
      </c>
    </row>
    <row r="17" spans="1:7" x14ac:dyDescent="0.2">
      <c r="A17" s="7">
        <v>119</v>
      </c>
      <c r="B17" s="7" t="s">
        <v>941</v>
      </c>
      <c r="C17" s="7">
        <v>561</v>
      </c>
      <c r="D17" s="7">
        <v>14.44</v>
      </c>
      <c r="E17" s="7">
        <v>756</v>
      </c>
    </row>
    <row r="18" spans="1:7" x14ac:dyDescent="0.2">
      <c r="A18" s="7">
        <v>162</v>
      </c>
      <c r="B18" s="7" t="s">
        <v>984</v>
      </c>
      <c r="C18" s="7">
        <v>546</v>
      </c>
      <c r="D18" s="7">
        <v>21.43</v>
      </c>
      <c r="E18" s="7">
        <v>611</v>
      </c>
      <c r="F18" t="s">
        <v>1052</v>
      </c>
      <c r="G18" t="s">
        <v>1050</v>
      </c>
    </row>
    <row r="19" spans="1:7" x14ac:dyDescent="0.2">
      <c r="A19" s="7">
        <v>61</v>
      </c>
      <c r="B19" s="7" t="s">
        <v>883</v>
      </c>
      <c r="C19" s="7">
        <v>543</v>
      </c>
      <c r="D19" s="7">
        <v>21.55</v>
      </c>
      <c r="E19" s="7">
        <v>611</v>
      </c>
      <c r="F19" t="s">
        <v>1052</v>
      </c>
      <c r="G19" t="s">
        <v>1050</v>
      </c>
    </row>
    <row r="20" spans="1:7" x14ac:dyDescent="0.2">
      <c r="A20" s="7">
        <v>142</v>
      </c>
      <c r="B20" s="7" t="s">
        <v>964</v>
      </c>
      <c r="C20" s="7">
        <v>543</v>
      </c>
      <c r="D20" s="7">
        <v>21.18</v>
      </c>
      <c r="E20" s="7">
        <v>611</v>
      </c>
      <c r="F20" t="s">
        <v>1052</v>
      </c>
      <c r="G20" t="s">
        <v>1050</v>
      </c>
    </row>
    <row r="21" spans="1:7" x14ac:dyDescent="0.2">
      <c r="A21" s="7">
        <v>166</v>
      </c>
      <c r="B21" s="7" t="s">
        <v>988</v>
      </c>
      <c r="C21" s="7">
        <v>540</v>
      </c>
      <c r="D21" s="7">
        <v>21.67</v>
      </c>
      <c r="E21" s="7">
        <v>611</v>
      </c>
      <c r="F21" t="s">
        <v>1052</v>
      </c>
      <c r="G21" t="s">
        <v>1050</v>
      </c>
    </row>
    <row r="22" spans="1:7" x14ac:dyDescent="0.2">
      <c r="A22" s="7">
        <v>168</v>
      </c>
      <c r="B22" s="7" t="s">
        <v>990</v>
      </c>
      <c r="C22" s="7">
        <v>540</v>
      </c>
      <c r="D22" s="7">
        <v>22.78</v>
      </c>
      <c r="E22" s="7">
        <v>611</v>
      </c>
      <c r="F22" t="s">
        <v>1052</v>
      </c>
      <c r="G22" t="s">
        <v>1050</v>
      </c>
    </row>
    <row r="23" spans="1:7" x14ac:dyDescent="0.2">
      <c r="A23" s="7">
        <v>170</v>
      </c>
      <c r="B23" s="7" t="s">
        <v>992</v>
      </c>
      <c r="C23" s="7">
        <v>540</v>
      </c>
      <c r="D23" s="7">
        <v>22.78</v>
      </c>
      <c r="E23" s="7">
        <v>611</v>
      </c>
      <c r="F23" t="s">
        <v>1052</v>
      </c>
      <c r="G23" t="s">
        <v>1050</v>
      </c>
    </row>
    <row r="24" spans="1:7" x14ac:dyDescent="0.2">
      <c r="A24" s="7">
        <v>175</v>
      </c>
      <c r="B24" s="7" t="s">
        <v>997</v>
      </c>
      <c r="C24" s="7">
        <v>540</v>
      </c>
      <c r="D24" s="7">
        <v>22.78</v>
      </c>
      <c r="E24" s="7">
        <v>611</v>
      </c>
      <c r="F24" t="s">
        <v>1052</v>
      </c>
      <c r="G24" t="s">
        <v>1050</v>
      </c>
    </row>
    <row r="25" spans="1:7" x14ac:dyDescent="0.2">
      <c r="A25" s="7">
        <v>112</v>
      </c>
      <c r="B25" s="7" t="s">
        <v>934</v>
      </c>
      <c r="C25" s="7">
        <v>537</v>
      </c>
      <c r="D25" s="7">
        <v>20.48</v>
      </c>
      <c r="E25" s="7">
        <v>611</v>
      </c>
      <c r="F25" t="s">
        <v>1052</v>
      </c>
      <c r="G25" t="s">
        <v>1050</v>
      </c>
    </row>
    <row r="26" spans="1:7" x14ac:dyDescent="0.2">
      <c r="A26" s="7">
        <v>117</v>
      </c>
      <c r="B26" s="7" t="s">
        <v>939</v>
      </c>
      <c r="C26" s="7">
        <v>537</v>
      </c>
      <c r="D26" s="7">
        <v>20.48</v>
      </c>
      <c r="E26" s="7">
        <v>611</v>
      </c>
      <c r="F26" t="s">
        <v>1052</v>
      </c>
      <c r="G26" t="s">
        <v>1050</v>
      </c>
    </row>
    <row r="27" spans="1:7" x14ac:dyDescent="0.2">
      <c r="A27" s="7">
        <v>13</v>
      </c>
      <c r="B27" s="7" t="s">
        <v>835</v>
      </c>
      <c r="C27" s="7">
        <v>525</v>
      </c>
      <c r="D27" s="7">
        <v>14.29</v>
      </c>
      <c r="E27" s="7">
        <v>648</v>
      </c>
    </row>
    <row r="28" spans="1:7" x14ac:dyDescent="0.2">
      <c r="A28" s="7">
        <v>74</v>
      </c>
      <c r="B28" s="7" t="s">
        <v>896</v>
      </c>
      <c r="C28" s="7">
        <v>522</v>
      </c>
      <c r="D28" s="7">
        <v>17.239999999999998</v>
      </c>
      <c r="E28" s="7">
        <v>768</v>
      </c>
    </row>
    <row r="29" spans="1:7" x14ac:dyDescent="0.2">
      <c r="A29" s="7">
        <v>2</v>
      </c>
      <c r="B29" s="7" t="s">
        <v>824</v>
      </c>
      <c r="C29" s="7">
        <v>507</v>
      </c>
      <c r="D29" s="7">
        <v>12.43</v>
      </c>
      <c r="E29" s="7">
        <v>608</v>
      </c>
      <c r="F29" t="s">
        <v>1048</v>
      </c>
      <c r="G29" t="s">
        <v>1049</v>
      </c>
    </row>
    <row r="30" spans="1:7" x14ac:dyDescent="0.2">
      <c r="A30" s="7">
        <v>17</v>
      </c>
      <c r="B30" s="7" t="s">
        <v>839</v>
      </c>
      <c r="C30" s="7">
        <v>498</v>
      </c>
      <c r="D30" s="7">
        <v>14.26</v>
      </c>
      <c r="E30" s="7">
        <v>648</v>
      </c>
    </row>
    <row r="31" spans="1:7" x14ac:dyDescent="0.2">
      <c r="A31" s="7">
        <v>36</v>
      </c>
      <c r="B31" s="7" t="s">
        <v>858</v>
      </c>
      <c r="C31" s="7">
        <v>483</v>
      </c>
      <c r="D31" s="7">
        <v>17.18</v>
      </c>
      <c r="E31" s="7">
        <v>685</v>
      </c>
    </row>
    <row r="32" spans="1:7" x14ac:dyDescent="0.2">
      <c r="A32" s="7">
        <v>9</v>
      </c>
      <c r="B32" s="7" t="s">
        <v>831</v>
      </c>
      <c r="C32" s="7">
        <v>456</v>
      </c>
      <c r="D32" s="7">
        <v>14.47</v>
      </c>
      <c r="E32" s="7">
        <v>608</v>
      </c>
      <c r="F32" t="s">
        <v>1048</v>
      </c>
      <c r="G32" t="s">
        <v>1049</v>
      </c>
    </row>
    <row r="33" spans="1:7" x14ac:dyDescent="0.2">
      <c r="A33" s="7">
        <v>33</v>
      </c>
      <c r="B33" s="7" t="s">
        <v>855</v>
      </c>
      <c r="C33" s="7">
        <v>453</v>
      </c>
      <c r="D33" s="7">
        <v>12.36</v>
      </c>
      <c r="E33" s="7">
        <v>608</v>
      </c>
      <c r="F33" t="s">
        <v>1048</v>
      </c>
      <c r="G33" t="s">
        <v>1049</v>
      </c>
    </row>
    <row r="34" spans="1:7" x14ac:dyDescent="0.2">
      <c r="A34" s="7">
        <v>136</v>
      </c>
      <c r="B34" s="7" t="s">
        <v>958</v>
      </c>
      <c r="C34" s="7">
        <v>408</v>
      </c>
      <c r="D34" s="7">
        <v>14.22</v>
      </c>
      <c r="E34" s="7">
        <v>608</v>
      </c>
      <c r="F34" t="s">
        <v>1048</v>
      </c>
      <c r="G34" t="s">
        <v>1049</v>
      </c>
    </row>
    <row r="35" spans="1:7" x14ac:dyDescent="0.2">
      <c r="A35" s="7">
        <v>37</v>
      </c>
      <c r="B35" s="7" t="s">
        <v>859</v>
      </c>
      <c r="C35" s="7">
        <v>405</v>
      </c>
      <c r="D35" s="7">
        <v>36.54</v>
      </c>
      <c r="E35" s="7">
        <v>686</v>
      </c>
    </row>
    <row r="36" spans="1:7" x14ac:dyDescent="0.2">
      <c r="A36" s="7">
        <v>40</v>
      </c>
      <c r="B36" s="7" t="s">
        <v>862</v>
      </c>
      <c r="C36" s="7">
        <v>399</v>
      </c>
      <c r="D36" s="7">
        <v>13.28</v>
      </c>
      <c r="E36" s="7">
        <v>785</v>
      </c>
    </row>
    <row r="37" spans="1:7" x14ac:dyDescent="0.2">
      <c r="A37" s="7">
        <v>21</v>
      </c>
      <c r="B37" s="7" t="s">
        <v>843</v>
      </c>
      <c r="C37" s="7">
        <v>393</v>
      </c>
      <c r="D37" s="7">
        <v>16.28</v>
      </c>
      <c r="E37" s="7">
        <v>608</v>
      </c>
      <c r="F37" t="s">
        <v>1048</v>
      </c>
      <c r="G37" t="s">
        <v>1049</v>
      </c>
    </row>
    <row r="38" spans="1:7" x14ac:dyDescent="0.2">
      <c r="A38" s="7">
        <v>158</v>
      </c>
      <c r="B38" s="7" t="s">
        <v>980</v>
      </c>
      <c r="C38" s="7">
        <v>384</v>
      </c>
      <c r="D38" s="7">
        <v>18.75</v>
      </c>
      <c r="E38" s="7">
        <v>751</v>
      </c>
    </row>
    <row r="39" spans="1:7" x14ac:dyDescent="0.2">
      <c r="A39" s="7">
        <v>144</v>
      </c>
      <c r="B39" s="7" t="s">
        <v>966</v>
      </c>
      <c r="C39" s="7">
        <v>381</v>
      </c>
      <c r="D39" s="7">
        <v>17.059999999999999</v>
      </c>
      <c r="E39" s="7">
        <v>608</v>
      </c>
      <c r="F39" t="s">
        <v>1048</v>
      </c>
      <c r="G39" t="s">
        <v>1049</v>
      </c>
    </row>
    <row r="40" spans="1:7" x14ac:dyDescent="0.2">
      <c r="A40" s="7">
        <v>146</v>
      </c>
      <c r="B40" s="7" t="s">
        <v>968</v>
      </c>
      <c r="C40" s="7">
        <v>381</v>
      </c>
      <c r="D40" s="7">
        <v>17.059999999999999</v>
      </c>
      <c r="E40" s="7">
        <v>608</v>
      </c>
      <c r="F40" t="s">
        <v>1048</v>
      </c>
      <c r="G40" t="s">
        <v>1049</v>
      </c>
    </row>
    <row r="41" spans="1:7" x14ac:dyDescent="0.2">
      <c r="A41" s="7">
        <v>147</v>
      </c>
      <c r="B41" s="7" t="s">
        <v>969</v>
      </c>
      <c r="C41" s="7">
        <v>381</v>
      </c>
      <c r="D41" s="7">
        <v>17.059999999999999</v>
      </c>
      <c r="E41" s="7">
        <v>608</v>
      </c>
      <c r="F41" t="s">
        <v>1048</v>
      </c>
      <c r="G41" t="s">
        <v>1049</v>
      </c>
    </row>
    <row r="42" spans="1:7" x14ac:dyDescent="0.2">
      <c r="A42" s="7">
        <v>53</v>
      </c>
      <c r="B42" s="7" t="s">
        <v>875</v>
      </c>
      <c r="C42" s="7">
        <v>381</v>
      </c>
      <c r="D42" s="7">
        <v>15.22</v>
      </c>
      <c r="E42" s="7">
        <v>729</v>
      </c>
    </row>
    <row r="43" spans="1:7" x14ac:dyDescent="0.2">
      <c r="A43" s="7">
        <v>23</v>
      </c>
      <c r="B43" s="7" t="s">
        <v>845</v>
      </c>
      <c r="C43" s="7">
        <v>369</v>
      </c>
      <c r="D43" s="7">
        <v>14.91</v>
      </c>
      <c r="E43" s="7">
        <v>608</v>
      </c>
      <c r="F43" t="s">
        <v>1048</v>
      </c>
      <c r="G43" t="s">
        <v>1049</v>
      </c>
    </row>
    <row r="44" spans="1:7" x14ac:dyDescent="0.2">
      <c r="A44" s="7">
        <v>113</v>
      </c>
      <c r="B44" s="7" t="s">
        <v>935</v>
      </c>
      <c r="C44" s="7">
        <v>363</v>
      </c>
      <c r="D44" s="7">
        <v>27.55</v>
      </c>
      <c r="E44" s="7">
        <v>613</v>
      </c>
      <c r="F44" t="s">
        <v>1053</v>
      </c>
      <c r="G44" t="s">
        <v>1050</v>
      </c>
    </row>
    <row r="45" spans="1:7" x14ac:dyDescent="0.2">
      <c r="A45" s="7">
        <v>118</v>
      </c>
      <c r="B45" s="7" t="s">
        <v>940</v>
      </c>
      <c r="C45" s="7">
        <v>363</v>
      </c>
      <c r="D45" s="7">
        <v>27.55</v>
      </c>
      <c r="E45" s="7">
        <v>613</v>
      </c>
      <c r="F45" t="s">
        <v>1053</v>
      </c>
      <c r="G45" t="s">
        <v>1050</v>
      </c>
    </row>
    <row r="46" spans="1:7" x14ac:dyDescent="0.2">
      <c r="A46" s="7">
        <v>83</v>
      </c>
      <c r="B46" s="7" t="s">
        <v>905</v>
      </c>
      <c r="C46" s="7">
        <v>363</v>
      </c>
      <c r="D46" s="7">
        <v>10.47</v>
      </c>
      <c r="E46" s="7">
        <v>762</v>
      </c>
    </row>
    <row r="47" spans="1:7" x14ac:dyDescent="0.2">
      <c r="A47" s="7">
        <v>42</v>
      </c>
      <c r="B47" s="7" t="s">
        <v>864</v>
      </c>
      <c r="C47" s="7">
        <v>363</v>
      </c>
      <c r="D47" s="7">
        <v>23.97</v>
      </c>
      <c r="E47" s="7">
        <v>787</v>
      </c>
    </row>
    <row r="48" spans="1:7" x14ac:dyDescent="0.2">
      <c r="A48" s="7">
        <v>62</v>
      </c>
      <c r="B48" s="7" t="s">
        <v>884</v>
      </c>
      <c r="C48" s="7">
        <v>360</v>
      </c>
      <c r="D48" s="7">
        <v>28.33</v>
      </c>
      <c r="E48" s="7">
        <v>613</v>
      </c>
      <c r="F48" t="s">
        <v>1053</v>
      </c>
      <c r="G48" t="s">
        <v>1050</v>
      </c>
    </row>
    <row r="49" spans="1:7" x14ac:dyDescent="0.2">
      <c r="A49" s="7">
        <v>143</v>
      </c>
      <c r="B49" s="7" t="s">
        <v>965</v>
      </c>
      <c r="C49" s="7">
        <v>360</v>
      </c>
      <c r="D49" s="7">
        <v>27.5</v>
      </c>
      <c r="E49" s="7">
        <v>613</v>
      </c>
      <c r="F49" t="s">
        <v>1053</v>
      </c>
      <c r="G49" t="s">
        <v>1050</v>
      </c>
    </row>
    <row r="50" spans="1:7" x14ac:dyDescent="0.2">
      <c r="A50" s="7">
        <v>163</v>
      </c>
      <c r="B50" s="7" t="s">
        <v>985</v>
      </c>
      <c r="C50" s="7">
        <v>360</v>
      </c>
      <c r="D50" s="7">
        <v>27.22</v>
      </c>
      <c r="E50" s="7">
        <v>613</v>
      </c>
      <c r="F50" t="s">
        <v>1053</v>
      </c>
      <c r="G50" t="s">
        <v>1050</v>
      </c>
    </row>
    <row r="51" spans="1:7" x14ac:dyDescent="0.2">
      <c r="A51" s="7">
        <v>150</v>
      </c>
      <c r="B51" s="7" t="s">
        <v>972</v>
      </c>
      <c r="C51" s="7">
        <v>360</v>
      </c>
      <c r="D51" s="7">
        <v>20.56</v>
      </c>
      <c r="E51" s="7">
        <v>629</v>
      </c>
    </row>
    <row r="52" spans="1:7" x14ac:dyDescent="0.2">
      <c r="A52" s="7">
        <v>72</v>
      </c>
      <c r="B52" s="7" t="s">
        <v>894</v>
      </c>
      <c r="C52" s="7">
        <v>354</v>
      </c>
      <c r="D52" s="7">
        <v>21.75</v>
      </c>
      <c r="E52" s="7">
        <v>612</v>
      </c>
      <c r="F52" t="s">
        <v>1051</v>
      </c>
      <c r="G52" t="s">
        <v>1050</v>
      </c>
    </row>
    <row r="53" spans="1:7" x14ac:dyDescent="0.2">
      <c r="A53" s="7">
        <v>110</v>
      </c>
      <c r="B53" s="7" t="s">
        <v>932</v>
      </c>
      <c r="C53" s="7">
        <v>354</v>
      </c>
      <c r="D53" s="7">
        <v>21.75</v>
      </c>
      <c r="E53" s="7">
        <v>612</v>
      </c>
      <c r="F53" t="s">
        <v>1051</v>
      </c>
      <c r="G53" t="s">
        <v>1050</v>
      </c>
    </row>
    <row r="54" spans="1:7" x14ac:dyDescent="0.2">
      <c r="A54" s="7">
        <v>111</v>
      </c>
      <c r="B54" s="7" t="s">
        <v>933</v>
      </c>
      <c r="C54" s="7">
        <v>354</v>
      </c>
      <c r="D54" s="7">
        <v>21.75</v>
      </c>
      <c r="E54" s="7">
        <v>612</v>
      </c>
      <c r="F54" t="s">
        <v>1051</v>
      </c>
      <c r="G54" t="s">
        <v>1050</v>
      </c>
    </row>
    <row r="55" spans="1:7" x14ac:dyDescent="0.2">
      <c r="A55" s="7">
        <v>106</v>
      </c>
      <c r="B55" s="7" t="s">
        <v>928</v>
      </c>
      <c r="C55" s="7">
        <v>354</v>
      </c>
      <c r="D55" s="7">
        <v>13.28</v>
      </c>
      <c r="E55" s="7">
        <v>625</v>
      </c>
    </row>
    <row r="56" spans="1:7" x14ac:dyDescent="0.2">
      <c r="A56" s="7">
        <v>134</v>
      </c>
      <c r="B56" s="7" t="s">
        <v>956</v>
      </c>
      <c r="C56" s="7">
        <v>354</v>
      </c>
      <c r="D56" s="7">
        <v>13.28</v>
      </c>
      <c r="E56" s="7">
        <v>625</v>
      </c>
    </row>
    <row r="57" spans="1:7" x14ac:dyDescent="0.2">
      <c r="A57" s="7">
        <v>41</v>
      </c>
      <c r="B57" s="7" t="s">
        <v>863</v>
      </c>
      <c r="C57" s="7">
        <v>351</v>
      </c>
      <c r="D57" s="7">
        <v>13.39</v>
      </c>
      <c r="E57" s="7">
        <v>786</v>
      </c>
    </row>
    <row r="58" spans="1:7" x14ac:dyDescent="0.2">
      <c r="A58" s="7">
        <v>107</v>
      </c>
      <c r="B58" s="7" t="s">
        <v>929</v>
      </c>
      <c r="C58" s="7">
        <v>348</v>
      </c>
      <c r="D58" s="7">
        <v>21.26</v>
      </c>
      <c r="E58" s="7">
        <v>612</v>
      </c>
      <c r="F58" t="s">
        <v>1051</v>
      </c>
      <c r="G58" t="s">
        <v>1050</v>
      </c>
    </row>
    <row r="59" spans="1:7" x14ac:dyDescent="0.2">
      <c r="A59" s="7">
        <v>26</v>
      </c>
      <c r="B59" s="7" t="s">
        <v>848</v>
      </c>
      <c r="C59" s="7">
        <v>339</v>
      </c>
      <c r="D59" s="7">
        <v>13.57</v>
      </c>
      <c r="E59" s="7">
        <v>608</v>
      </c>
      <c r="F59" t="s">
        <v>1048</v>
      </c>
      <c r="G59" t="s">
        <v>1049</v>
      </c>
    </row>
    <row r="60" spans="1:7" x14ac:dyDescent="0.2">
      <c r="A60" s="7">
        <v>120</v>
      </c>
      <c r="B60" s="7" t="s">
        <v>942</v>
      </c>
      <c r="C60" s="7">
        <v>333</v>
      </c>
      <c r="D60" s="7">
        <v>15.62</v>
      </c>
      <c r="E60" s="7">
        <v>757</v>
      </c>
    </row>
    <row r="61" spans="1:7" x14ac:dyDescent="0.2">
      <c r="A61" s="7">
        <v>155</v>
      </c>
      <c r="B61" s="7" t="s">
        <v>977</v>
      </c>
      <c r="C61" s="7">
        <v>327</v>
      </c>
      <c r="D61" s="7">
        <v>21.71</v>
      </c>
      <c r="E61" s="7">
        <v>612</v>
      </c>
      <c r="F61" t="s">
        <v>1051</v>
      </c>
      <c r="G61" t="s">
        <v>1050</v>
      </c>
    </row>
    <row r="62" spans="1:7" x14ac:dyDescent="0.2">
      <c r="A62" s="7">
        <v>159</v>
      </c>
      <c r="B62" s="7" t="s">
        <v>981</v>
      </c>
      <c r="C62" s="7">
        <v>327</v>
      </c>
      <c r="D62" s="7">
        <v>21.71</v>
      </c>
      <c r="E62" s="7">
        <v>612</v>
      </c>
      <c r="F62" t="s">
        <v>1051</v>
      </c>
      <c r="G62" t="s">
        <v>1050</v>
      </c>
    </row>
    <row r="63" spans="1:7" x14ac:dyDescent="0.2">
      <c r="A63" s="7">
        <v>160</v>
      </c>
      <c r="B63" s="7" t="s">
        <v>982</v>
      </c>
      <c r="C63" s="7">
        <v>327</v>
      </c>
      <c r="D63" s="7">
        <v>21.71</v>
      </c>
      <c r="E63" s="7">
        <v>612</v>
      </c>
      <c r="F63" t="s">
        <v>1051</v>
      </c>
      <c r="G63" t="s">
        <v>1050</v>
      </c>
    </row>
    <row r="64" spans="1:7" x14ac:dyDescent="0.2">
      <c r="A64" s="7">
        <v>165</v>
      </c>
      <c r="B64" s="7" t="s">
        <v>987</v>
      </c>
      <c r="C64" s="7">
        <v>327</v>
      </c>
      <c r="D64" s="7">
        <v>21.71</v>
      </c>
      <c r="E64" s="7">
        <v>612</v>
      </c>
      <c r="F64" t="s">
        <v>1051</v>
      </c>
      <c r="G64" t="s">
        <v>1050</v>
      </c>
    </row>
    <row r="65" spans="1:7" x14ac:dyDescent="0.2">
      <c r="A65" s="7">
        <v>172</v>
      </c>
      <c r="B65" s="7" t="s">
        <v>994</v>
      </c>
      <c r="C65" s="7">
        <v>327</v>
      </c>
      <c r="D65" s="7">
        <v>21.71</v>
      </c>
      <c r="E65" s="7">
        <v>612</v>
      </c>
      <c r="F65" t="s">
        <v>1051</v>
      </c>
      <c r="G65" t="s">
        <v>1050</v>
      </c>
    </row>
    <row r="66" spans="1:7" x14ac:dyDescent="0.2">
      <c r="A66" s="7">
        <v>18</v>
      </c>
      <c r="B66" s="7" t="s">
        <v>840</v>
      </c>
      <c r="C66" s="7">
        <v>324</v>
      </c>
      <c r="D66" s="7">
        <v>20.99</v>
      </c>
      <c r="E66" s="7">
        <v>707</v>
      </c>
    </row>
    <row r="67" spans="1:7" x14ac:dyDescent="0.2">
      <c r="A67" s="7">
        <v>124</v>
      </c>
      <c r="B67" s="7" t="s">
        <v>946</v>
      </c>
      <c r="C67" s="7">
        <v>309</v>
      </c>
      <c r="D67" s="7">
        <v>22.98</v>
      </c>
      <c r="E67" s="7">
        <v>775</v>
      </c>
    </row>
    <row r="68" spans="1:7" x14ac:dyDescent="0.2">
      <c r="A68" s="7">
        <v>167</v>
      </c>
      <c r="B68" s="7" t="s">
        <v>989</v>
      </c>
      <c r="C68" s="7">
        <v>300</v>
      </c>
      <c r="D68" s="7">
        <v>19.329999999999998</v>
      </c>
      <c r="E68" s="7">
        <v>613</v>
      </c>
      <c r="F68" t="s">
        <v>1053</v>
      </c>
      <c r="G68" t="s">
        <v>1050</v>
      </c>
    </row>
    <row r="69" spans="1:7" x14ac:dyDescent="0.2">
      <c r="A69" s="7">
        <v>169</v>
      </c>
      <c r="B69" s="7" t="s">
        <v>991</v>
      </c>
      <c r="C69" s="7">
        <v>300</v>
      </c>
      <c r="D69" s="7">
        <v>19.670000000000002</v>
      </c>
      <c r="E69" s="7">
        <v>613</v>
      </c>
      <c r="F69" t="s">
        <v>1053</v>
      </c>
      <c r="G69" t="s">
        <v>1050</v>
      </c>
    </row>
    <row r="70" spans="1:7" x14ac:dyDescent="0.2">
      <c r="A70" s="7">
        <v>171</v>
      </c>
      <c r="B70" s="7" t="s">
        <v>993</v>
      </c>
      <c r="C70" s="7">
        <v>300</v>
      </c>
      <c r="D70" s="7">
        <v>19.670000000000002</v>
      </c>
      <c r="E70" s="7">
        <v>613</v>
      </c>
      <c r="F70" t="s">
        <v>1053</v>
      </c>
      <c r="G70" t="s">
        <v>1050</v>
      </c>
    </row>
    <row r="71" spans="1:7" x14ac:dyDescent="0.2">
      <c r="A71" s="7">
        <v>176</v>
      </c>
      <c r="B71" s="7" t="s">
        <v>998</v>
      </c>
      <c r="C71" s="7">
        <v>300</v>
      </c>
      <c r="D71" s="7">
        <v>19.670000000000002</v>
      </c>
      <c r="E71" s="7">
        <v>613</v>
      </c>
      <c r="F71" t="s">
        <v>1053</v>
      </c>
      <c r="G71" t="s">
        <v>1050</v>
      </c>
    </row>
    <row r="72" spans="1:7" x14ac:dyDescent="0.2">
      <c r="A72" s="7">
        <v>152</v>
      </c>
      <c r="B72" s="7" t="s">
        <v>974</v>
      </c>
      <c r="C72" s="7">
        <v>291</v>
      </c>
      <c r="D72" s="7">
        <v>21.65</v>
      </c>
      <c r="E72" s="7">
        <v>629</v>
      </c>
    </row>
    <row r="73" spans="1:7" x14ac:dyDescent="0.2">
      <c r="A73" s="7">
        <v>10</v>
      </c>
      <c r="B73" s="7" t="s">
        <v>832</v>
      </c>
      <c r="C73" s="7">
        <v>288</v>
      </c>
      <c r="D73" s="7">
        <v>12.85</v>
      </c>
      <c r="E73" s="7">
        <v>737</v>
      </c>
    </row>
    <row r="74" spans="1:7" x14ac:dyDescent="0.2">
      <c r="A74" s="7">
        <v>94</v>
      </c>
      <c r="B74" s="7" t="s">
        <v>916</v>
      </c>
      <c r="C74" s="7">
        <v>288</v>
      </c>
      <c r="D74" s="7">
        <v>15.28</v>
      </c>
      <c r="E74" s="7">
        <v>772</v>
      </c>
    </row>
    <row r="75" spans="1:7" x14ac:dyDescent="0.2">
      <c r="A75" s="7">
        <v>20</v>
      </c>
      <c r="B75" s="7" t="s">
        <v>842</v>
      </c>
      <c r="C75" s="7">
        <v>285</v>
      </c>
      <c r="D75" s="7">
        <v>26.32</v>
      </c>
      <c r="E75" s="7">
        <v>646</v>
      </c>
    </row>
    <row r="76" spans="1:7" x14ac:dyDescent="0.2">
      <c r="A76" s="7">
        <v>141</v>
      </c>
      <c r="B76" s="7" t="s">
        <v>963</v>
      </c>
      <c r="C76" s="7">
        <v>282</v>
      </c>
      <c r="D76" s="7">
        <v>12.77</v>
      </c>
      <c r="E76" s="7">
        <v>747</v>
      </c>
    </row>
    <row r="77" spans="1:7" x14ac:dyDescent="0.2">
      <c r="A77" s="7">
        <v>145</v>
      </c>
      <c r="B77" s="7" t="s">
        <v>967</v>
      </c>
      <c r="C77" s="7">
        <v>273</v>
      </c>
      <c r="D77" s="7">
        <v>42.86</v>
      </c>
      <c r="E77" s="7">
        <v>693</v>
      </c>
    </row>
    <row r="78" spans="1:7" x14ac:dyDescent="0.2">
      <c r="A78" s="7">
        <v>149</v>
      </c>
      <c r="B78" s="7" t="s">
        <v>971</v>
      </c>
      <c r="C78" s="7">
        <v>264</v>
      </c>
      <c r="D78" s="7">
        <v>20.45</v>
      </c>
      <c r="E78" s="7">
        <v>638</v>
      </c>
    </row>
    <row r="79" spans="1:7" x14ac:dyDescent="0.2">
      <c r="A79" s="7">
        <v>75</v>
      </c>
      <c r="B79" s="7" t="s">
        <v>897</v>
      </c>
      <c r="C79" s="7">
        <v>261</v>
      </c>
      <c r="D79" s="7">
        <v>12.64</v>
      </c>
      <c r="E79" s="7">
        <v>625</v>
      </c>
    </row>
    <row r="80" spans="1:7" x14ac:dyDescent="0.2">
      <c r="A80" s="7">
        <v>153</v>
      </c>
      <c r="B80" s="7" t="s">
        <v>975</v>
      </c>
      <c r="C80" s="7">
        <v>261</v>
      </c>
      <c r="D80" s="7">
        <v>29.12</v>
      </c>
      <c r="E80" s="7">
        <v>701</v>
      </c>
    </row>
    <row r="81" spans="1:5" x14ac:dyDescent="0.2">
      <c r="A81" s="7">
        <v>156</v>
      </c>
      <c r="B81" s="7" t="s">
        <v>978</v>
      </c>
      <c r="C81" s="7">
        <v>258</v>
      </c>
      <c r="D81" s="7">
        <v>16.670000000000002</v>
      </c>
      <c r="E81" s="7">
        <v>677</v>
      </c>
    </row>
    <row r="82" spans="1:5" x14ac:dyDescent="0.2">
      <c r="A82" s="7">
        <v>114</v>
      </c>
      <c r="B82" s="7" t="s">
        <v>936</v>
      </c>
      <c r="C82" s="7">
        <v>246</v>
      </c>
      <c r="D82" s="7">
        <v>27.64</v>
      </c>
      <c r="E82" s="7">
        <v>621</v>
      </c>
    </row>
    <row r="83" spans="1:5" x14ac:dyDescent="0.2">
      <c r="A83" s="7">
        <v>127</v>
      </c>
      <c r="B83" s="7" t="s">
        <v>949</v>
      </c>
      <c r="C83" s="7">
        <v>246</v>
      </c>
      <c r="D83" s="7">
        <v>27.64</v>
      </c>
      <c r="E83" s="7">
        <v>621</v>
      </c>
    </row>
    <row r="84" spans="1:5" x14ac:dyDescent="0.2">
      <c r="A84" s="7">
        <v>129</v>
      </c>
      <c r="B84" s="7" t="s">
        <v>951</v>
      </c>
      <c r="C84" s="7">
        <v>246</v>
      </c>
      <c r="D84" s="7">
        <v>27.64</v>
      </c>
      <c r="E84" s="7">
        <v>621</v>
      </c>
    </row>
    <row r="85" spans="1:5" x14ac:dyDescent="0.2">
      <c r="A85" s="7">
        <v>151</v>
      </c>
      <c r="B85" s="7" t="s">
        <v>973</v>
      </c>
      <c r="C85" s="7">
        <v>246</v>
      </c>
      <c r="D85" s="7">
        <v>19.920000000000002</v>
      </c>
      <c r="E85" s="7">
        <v>630</v>
      </c>
    </row>
    <row r="86" spans="1:5" x14ac:dyDescent="0.2">
      <c r="A86" s="7">
        <v>154</v>
      </c>
      <c r="B86" s="7" t="s">
        <v>976</v>
      </c>
      <c r="C86" s="7">
        <v>246</v>
      </c>
      <c r="D86" s="7">
        <v>19.920000000000002</v>
      </c>
      <c r="E86" s="7">
        <v>630</v>
      </c>
    </row>
    <row r="87" spans="1:5" x14ac:dyDescent="0.2">
      <c r="A87" s="7">
        <v>82</v>
      </c>
      <c r="B87" s="7" t="s">
        <v>904</v>
      </c>
      <c r="C87" s="7">
        <v>246</v>
      </c>
      <c r="D87" s="7">
        <v>20.329999999999998</v>
      </c>
      <c r="E87" s="7">
        <v>638</v>
      </c>
    </row>
    <row r="88" spans="1:5" x14ac:dyDescent="0.2">
      <c r="A88" s="7">
        <v>19</v>
      </c>
      <c r="B88" s="7" t="s">
        <v>841</v>
      </c>
      <c r="C88" s="7">
        <v>243</v>
      </c>
      <c r="D88" s="7">
        <v>23.87</v>
      </c>
      <c r="E88" s="7">
        <v>621</v>
      </c>
    </row>
    <row r="89" spans="1:5" x14ac:dyDescent="0.2">
      <c r="A89" s="7">
        <v>28</v>
      </c>
      <c r="B89" s="7" t="s">
        <v>850</v>
      </c>
      <c r="C89" s="7">
        <v>240</v>
      </c>
      <c r="D89" s="7">
        <v>29.17</v>
      </c>
      <c r="E89" s="7">
        <v>646</v>
      </c>
    </row>
    <row r="90" spans="1:5" x14ac:dyDescent="0.2">
      <c r="A90" s="7">
        <v>30</v>
      </c>
      <c r="B90" s="7" t="s">
        <v>852</v>
      </c>
      <c r="C90" s="7">
        <v>231</v>
      </c>
      <c r="D90" s="7">
        <v>17.32</v>
      </c>
      <c r="E90" s="7">
        <v>682</v>
      </c>
    </row>
    <row r="91" spans="1:5" x14ac:dyDescent="0.2">
      <c r="A91" s="7">
        <v>97</v>
      </c>
      <c r="B91" s="7" t="s">
        <v>919</v>
      </c>
      <c r="C91" s="7">
        <v>210</v>
      </c>
      <c r="D91" s="7">
        <v>6.67</v>
      </c>
      <c r="E91" s="7">
        <v>766</v>
      </c>
    </row>
    <row r="92" spans="1:5" x14ac:dyDescent="0.2">
      <c r="A92" s="7">
        <v>7</v>
      </c>
      <c r="B92" s="7" t="s">
        <v>829</v>
      </c>
      <c r="C92" s="7">
        <v>207</v>
      </c>
      <c r="D92" s="7">
        <v>15.94</v>
      </c>
      <c r="E92" s="7">
        <v>753</v>
      </c>
    </row>
    <row r="93" spans="1:5" x14ac:dyDescent="0.2">
      <c r="A93" s="7">
        <v>8</v>
      </c>
      <c r="B93" s="7" t="s">
        <v>830</v>
      </c>
      <c r="C93" s="7">
        <v>204</v>
      </c>
      <c r="D93" s="7">
        <v>16.18</v>
      </c>
      <c r="E93" s="7">
        <v>744</v>
      </c>
    </row>
    <row r="94" spans="1:5" x14ac:dyDescent="0.2">
      <c r="A94" s="7">
        <v>39</v>
      </c>
      <c r="B94" s="7" t="s">
        <v>861</v>
      </c>
      <c r="C94" s="7">
        <v>204</v>
      </c>
      <c r="D94" s="7">
        <v>14.71</v>
      </c>
      <c r="E94" s="7">
        <v>783</v>
      </c>
    </row>
    <row r="95" spans="1:5" x14ac:dyDescent="0.2">
      <c r="A95" s="7">
        <v>4</v>
      </c>
      <c r="B95" s="7" t="s">
        <v>826</v>
      </c>
      <c r="C95" s="7">
        <v>201</v>
      </c>
      <c r="D95" s="7">
        <v>13.43</v>
      </c>
      <c r="E95" s="7">
        <v>704</v>
      </c>
    </row>
    <row r="96" spans="1:5" x14ac:dyDescent="0.2">
      <c r="A96" s="7">
        <v>139</v>
      </c>
      <c r="B96" s="7" t="s">
        <v>961</v>
      </c>
      <c r="C96" s="7">
        <v>198</v>
      </c>
      <c r="D96" s="7">
        <v>14.65</v>
      </c>
      <c r="E96" s="7">
        <v>745</v>
      </c>
    </row>
    <row r="97" spans="1:7" x14ac:dyDescent="0.2">
      <c r="A97" s="7">
        <v>16</v>
      </c>
      <c r="B97" s="7" t="s">
        <v>838</v>
      </c>
      <c r="C97" s="7">
        <v>195</v>
      </c>
      <c r="D97" s="7">
        <v>16.41</v>
      </c>
      <c r="E97" s="7">
        <v>749</v>
      </c>
    </row>
    <row r="98" spans="1:7" x14ac:dyDescent="0.2">
      <c r="A98" s="7">
        <v>48</v>
      </c>
      <c r="B98" s="7" t="s">
        <v>870</v>
      </c>
      <c r="C98" s="7">
        <v>189</v>
      </c>
      <c r="D98" s="7">
        <v>16.399999999999999</v>
      </c>
      <c r="E98" s="7">
        <v>722</v>
      </c>
    </row>
    <row r="99" spans="1:7" x14ac:dyDescent="0.2">
      <c r="A99" s="7">
        <v>96</v>
      </c>
      <c r="B99" s="7" t="s">
        <v>918</v>
      </c>
      <c r="C99" s="7">
        <v>189</v>
      </c>
      <c r="D99" s="7">
        <v>13.76</v>
      </c>
      <c r="E99" s="7">
        <v>765</v>
      </c>
    </row>
    <row r="100" spans="1:7" x14ac:dyDescent="0.2">
      <c r="A100" s="7">
        <v>174</v>
      </c>
      <c r="B100" s="7" t="s">
        <v>996</v>
      </c>
      <c r="C100" s="7">
        <v>186</v>
      </c>
      <c r="D100" s="7">
        <v>14.52</v>
      </c>
      <c r="E100" s="7">
        <v>733</v>
      </c>
    </row>
    <row r="101" spans="1:7" x14ac:dyDescent="0.2">
      <c r="A101" s="7">
        <v>22</v>
      </c>
      <c r="B101" s="7" t="s">
        <v>844</v>
      </c>
      <c r="C101" s="7">
        <v>183</v>
      </c>
      <c r="D101" s="7">
        <v>19.670000000000002</v>
      </c>
      <c r="E101" s="7">
        <v>643</v>
      </c>
    </row>
    <row r="102" spans="1:7" x14ac:dyDescent="0.2">
      <c r="A102" s="7">
        <v>32</v>
      </c>
      <c r="B102" s="7" t="s">
        <v>854</v>
      </c>
      <c r="C102" s="7">
        <v>183</v>
      </c>
      <c r="D102" s="7">
        <v>19.670000000000002</v>
      </c>
      <c r="E102" s="7">
        <v>643</v>
      </c>
    </row>
    <row r="103" spans="1:7" x14ac:dyDescent="0.2">
      <c r="A103" s="7">
        <v>11</v>
      </c>
      <c r="B103" s="7" t="s">
        <v>833</v>
      </c>
      <c r="C103" s="7">
        <v>183</v>
      </c>
      <c r="D103" s="7">
        <v>24.04</v>
      </c>
      <c r="E103" s="7">
        <v>684</v>
      </c>
    </row>
    <row r="104" spans="1:7" x14ac:dyDescent="0.2">
      <c r="A104" s="7">
        <v>49</v>
      </c>
      <c r="B104" s="7" t="s">
        <v>871</v>
      </c>
      <c r="C104" s="7">
        <v>183</v>
      </c>
      <c r="D104" s="7">
        <v>14.75</v>
      </c>
      <c r="E104" s="7">
        <v>723</v>
      </c>
    </row>
    <row r="105" spans="1:7" x14ac:dyDescent="0.2">
      <c r="A105" s="7">
        <v>73</v>
      </c>
      <c r="B105" s="7" t="s">
        <v>895</v>
      </c>
      <c r="C105" s="7">
        <v>183</v>
      </c>
      <c r="D105" s="7">
        <v>20.22</v>
      </c>
      <c r="E105" s="7">
        <v>767</v>
      </c>
    </row>
    <row r="106" spans="1:7" x14ac:dyDescent="0.2">
      <c r="A106" s="7">
        <v>25</v>
      </c>
      <c r="B106" s="7" t="s">
        <v>847</v>
      </c>
      <c r="C106" s="7">
        <v>180</v>
      </c>
      <c r="D106" s="7">
        <v>18.89</v>
      </c>
      <c r="E106" s="7">
        <v>711</v>
      </c>
    </row>
    <row r="107" spans="1:7" x14ac:dyDescent="0.2">
      <c r="A107" s="7">
        <v>55</v>
      </c>
      <c r="B107" s="7" t="s">
        <v>877</v>
      </c>
      <c r="C107" s="7">
        <v>177</v>
      </c>
      <c r="D107" s="7">
        <v>22.6</v>
      </c>
      <c r="E107" s="7">
        <v>605</v>
      </c>
      <c r="F107" t="s">
        <v>1047</v>
      </c>
      <c r="G107" t="s">
        <v>1049</v>
      </c>
    </row>
    <row r="108" spans="1:7" x14ac:dyDescent="0.2">
      <c r="A108" s="7">
        <v>90</v>
      </c>
      <c r="B108" s="7" t="s">
        <v>912</v>
      </c>
      <c r="C108" s="7">
        <v>177</v>
      </c>
      <c r="D108" s="7">
        <v>22.6</v>
      </c>
      <c r="E108" s="7">
        <v>605</v>
      </c>
      <c r="F108" t="s">
        <v>1047</v>
      </c>
      <c r="G108" t="s">
        <v>1049</v>
      </c>
    </row>
    <row r="109" spans="1:7" x14ac:dyDescent="0.2">
      <c r="A109" s="7">
        <v>91</v>
      </c>
      <c r="B109" s="7" t="s">
        <v>913</v>
      </c>
      <c r="C109" s="7">
        <v>177</v>
      </c>
      <c r="D109" s="7">
        <v>22.6</v>
      </c>
      <c r="E109" s="7">
        <v>605</v>
      </c>
      <c r="F109" t="s">
        <v>1047</v>
      </c>
      <c r="G109" t="s">
        <v>1049</v>
      </c>
    </row>
    <row r="110" spans="1:7" x14ac:dyDescent="0.2">
      <c r="A110" s="7">
        <v>99</v>
      </c>
      <c r="B110" s="7" t="s">
        <v>921</v>
      </c>
      <c r="C110" s="7">
        <v>177</v>
      </c>
      <c r="D110" s="7">
        <v>22.6</v>
      </c>
      <c r="E110" s="7">
        <v>605</v>
      </c>
      <c r="F110" t="s">
        <v>1047</v>
      </c>
      <c r="G110" t="s">
        <v>1049</v>
      </c>
    </row>
    <row r="111" spans="1:7" x14ac:dyDescent="0.2">
      <c r="A111" s="7">
        <v>109</v>
      </c>
      <c r="B111" s="7" t="s">
        <v>931</v>
      </c>
      <c r="C111" s="7">
        <v>177</v>
      </c>
      <c r="D111" s="7">
        <v>22.6</v>
      </c>
      <c r="E111" s="7">
        <v>605</v>
      </c>
      <c r="F111" t="s">
        <v>1047</v>
      </c>
      <c r="G111" t="s">
        <v>1049</v>
      </c>
    </row>
    <row r="112" spans="1:7" x14ac:dyDescent="0.2">
      <c r="A112" s="7">
        <v>115</v>
      </c>
      <c r="B112" s="7" t="s">
        <v>937</v>
      </c>
      <c r="C112" s="7">
        <v>177</v>
      </c>
      <c r="D112" s="7">
        <v>19.21</v>
      </c>
      <c r="E112" s="7">
        <v>605</v>
      </c>
      <c r="F112" t="s">
        <v>1047</v>
      </c>
      <c r="G112" t="s">
        <v>1049</v>
      </c>
    </row>
    <row r="113" spans="1:7" x14ac:dyDescent="0.2">
      <c r="A113" s="7">
        <v>116</v>
      </c>
      <c r="B113" s="7" t="s">
        <v>938</v>
      </c>
      <c r="C113" s="7">
        <v>177</v>
      </c>
      <c r="D113" s="7">
        <v>22.6</v>
      </c>
      <c r="E113" s="7">
        <v>605</v>
      </c>
      <c r="F113" t="s">
        <v>1047</v>
      </c>
      <c r="G113" t="s">
        <v>1049</v>
      </c>
    </row>
    <row r="114" spans="1:7" x14ac:dyDescent="0.2">
      <c r="A114" s="7">
        <v>128</v>
      </c>
      <c r="B114" s="7" t="s">
        <v>950</v>
      </c>
      <c r="C114" s="7">
        <v>177</v>
      </c>
      <c r="D114" s="7">
        <v>19.21</v>
      </c>
      <c r="E114" s="7">
        <v>605</v>
      </c>
      <c r="F114" t="s">
        <v>1047</v>
      </c>
      <c r="G114" t="s">
        <v>1049</v>
      </c>
    </row>
    <row r="115" spans="1:7" x14ac:dyDescent="0.2">
      <c r="A115" s="7">
        <v>130</v>
      </c>
      <c r="B115" s="7" t="s">
        <v>952</v>
      </c>
      <c r="C115" s="7">
        <v>177</v>
      </c>
      <c r="D115" s="7">
        <v>19.21</v>
      </c>
      <c r="E115" s="7">
        <v>605</v>
      </c>
      <c r="F115" t="s">
        <v>1047</v>
      </c>
      <c r="G115" t="s">
        <v>1049</v>
      </c>
    </row>
    <row r="116" spans="1:7" x14ac:dyDescent="0.2">
      <c r="A116" s="7">
        <v>135</v>
      </c>
      <c r="B116" s="7" t="s">
        <v>957</v>
      </c>
      <c r="C116" s="7">
        <v>177</v>
      </c>
      <c r="D116" s="7">
        <v>22.6</v>
      </c>
      <c r="E116" s="7">
        <v>605</v>
      </c>
      <c r="F116" t="s">
        <v>1047</v>
      </c>
      <c r="G116" t="s">
        <v>1049</v>
      </c>
    </row>
    <row r="117" spans="1:7" x14ac:dyDescent="0.2">
      <c r="A117" s="7">
        <v>24</v>
      </c>
      <c r="B117" s="7" t="s">
        <v>846</v>
      </c>
      <c r="C117" s="7">
        <v>174</v>
      </c>
      <c r="D117" s="7">
        <v>24.71</v>
      </c>
      <c r="E117" s="7">
        <v>709</v>
      </c>
    </row>
    <row r="118" spans="1:7" x14ac:dyDescent="0.2">
      <c r="A118" s="7">
        <v>63</v>
      </c>
      <c r="B118" s="7" t="s">
        <v>885</v>
      </c>
      <c r="C118" s="7">
        <v>171</v>
      </c>
      <c r="D118" s="7">
        <v>5.85</v>
      </c>
      <c r="E118" s="7">
        <v>697</v>
      </c>
    </row>
    <row r="119" spans="1:7" x14ac:dyDescent="0.2">
      <c r="A119" s="7">
        <v>5</v>
      </c>
      <c r="B119" s="7" t="s">
        <v>827</v>
      </c>
      <c r="C119" s="7">
        <v>171</v>
      </c>
      <c r="D119" s="7">
        <v>25.15</v>
      </c>
      <c r="E119" s="7">
        <v>705</v>
      </c>
    </row>
    <row r="120" spans="1:7" x14ac:dyDescent="0.2">
      <c r="A120" s="7">
        <v>137</v>
      </c>
      <c r="B120" s="7" t="s">
        <v>959</v>
      </c>
      <c r="C120" s="7">
        <v>165</v>
      </c>
      <c r="D120" s="7">
        <v>18.79</v>
      </c>
      <c r="E120" s="7">
        <v>631</v>
      </c>
    </row>
    <row r="121" spans="1:7" x14ac:dyDescent="0.2">
      <c r="A121" s="7">
        <v>138</v>
      </c>
      <c r="B121" s="7" t="s">
        <v>960</v>
      </c>
      <c r="C121" s="7">
        <v>165</v>
      </c>
      <c r="D121" s="7">
        <v>18.79</v>
      </c>
      <c r="E121" s="7">
        <v>631</v>
      </c>
    </row>
    <row r="122" spans="1:7" x14ac:dyDescent="0.2">
      <c r="A122" s="7">
        <v>132</v>
      </c>
      <c r="B122" s="7" t="s">
        <v>954</v>
      </c>
      <c r="C122" s="7">
        <v>159</v>
      </c>
      <c r="D122" s="7">
        <v>16.98</v>
      </c>
      <c r="E122" s="7">
        <v>769</v>
      </c>
    </row>
    <row r="123" spans="1:7" x14ac:dyDescent="0.2">
      <c r="A123" s="7">
        <v>93</v>
      </c>
      <c r="B123" s="7" t="s">
        <v>915</v>
      </c>
      <c r="C123" s="7">
        <v>153</v>
      </c>
      <c r="D123" s="7">
        <v>32.03</v>
      </c>
      <c r="E123" s="7">
        <v>770</v>
      </c>
    </row>
    <row r="124" spans="1:7" x14ac:dyDescent="0.2">
      <c r="A124" s="7">
        <v>157</v>
      </c>
      <c r="B124" s="7" t="s">
        <v>979</v>
      </c>
      <c r="C124" s="7">
        <v>150</v>
      </c>
      <c r="D124" s="7">
        <v>12</v>
      </c>
      <c r="E124" s="7">
        <v>750</v>
      </c>
    </row>
    <row r="125" spans="1:7" x14ac:dyDescent="0.2">
      <c r="A125" s="7">
        <v>126</v>
      </c>
      <c r="B125" s="7" t="s">
        <v>948</v>
      </c>
      <c r="C125" s="7">
        <v>150</v>
      </c>
      <c r="D125" s="7">
        <v>16</v>
      </c>
      <c r="E125" s="7">
        <v>777</v>
      </c>
    </row>
    <row r="126" spans="1:7" x14ac:dyDescent="0.2">
      <c r="A126" s="7">
        <v>59</v>
      </c>
      <c r="B126" s="7" t="s">
        <v>881</v>
      </c>
      <c r="C126" s="7">
        <v>147</v>
      </c>
      <c r="D126" s="7">
        <v>38.1</v>
      </c>
      <c r="E126" s="7">
        <v>700</v>
      </c>
    </row>
    <row r="127" spans="1:7" x14ac:dyDescent="0.2">
      <c r="A127" s="7">
        <v>1</v>
      </c>
      <c r="B127" s="7" t="s">
        <v>823</v>
      </c>
      <c r="C127" s="7">
        <v>144</v>
      </c>
      <c r="D127" s="7">
        <v>22.22</v>
      </c>
      <c r="E127" s="7">
        <v>652</v>
      </c>
    </row>
    <row r="128" spans="1:7" x14ac:dyDescent="0.2">
      <c r="A128" s="7">
        <v>35</v>
      </c>
      <c r="B128" s="7" t="s">
        <v>857</v>
      </c>
      <c r="C128" s="7">
        <v>138</v>
      </c>
      <c r="D128" s="7">
        <v>12.32</v>
      </c>
      <c r="E128" s="7">
        <v>714</v>
      </c>
    </row>
    <row r="129" spans="1:7" x14ac:dyDescent="0.2">
      <c r="A129" s="7">
        <v>34</v>
      </c>
      <c r="B129" s="7" t="s">
        <v>856</v>
      </c>
      <c r="C129" s="7">
        <v>138</v>
      </c>
      <c r="D129" s="7">
        <v>17.39</v>
      </c>
      <c r="E129" s="7">
        <v>732</v>
      </c>
    </row>
    <row r="130" spans="1:7" x14ac:dyDescent="0.2">
      <c r="A130" s="7">
        <v>125</v>
      </c>
      <c r="B130" s="7" t="s">
        <v>947</v>
      </c>
      <c r="C130" s="7">
        <v>138</v>
      </c>
      <c r="D130" s="7">
        <v>15.22</v>
      </c>
      <c r="E130" s="7">
        <v>776</v>
      </c>
    </row>
    <row r="131" spans="1:7" x14ac:dyDescent="0.2">
      <c r="A131" s="7">
        <v>29</v>
      </c>
      <c r="B131" s="7" t="s">
        <v>851</v>
      </c>
      <c r="C131" s="7">
        <v>135</v>
      </c>
      <c r="D131" s="7">
        <v>22.96</v>
      </c>
      <c r="E131" s="7">
        <v>652</v>
      </c>
    </row>
    <row r="132" spans="1:7" x14ac:dyDescent="0.2">
      <c r="A132" s="7">
        <v>121</v>
      </c>
      <c r="B132" s="7" t="s">
        <v>943</v>
      </c>
      <c r="C132" s="7">
        <v>132</v>
      </c>
      <c r="D132" s="7">
        <v>13.64</v>
      </c>
      <c r="E132" s="7">
        <v>605</v>
      </c>
      <c r="F132" t="s">
        <v>1047</v>
      </c>
      <c r="G132" t="s">
        <v>1049</v>
      </c>
    </row>
    <row r="133" spans="1:7" x14ac:dyDescent="0.2">
      <c r="A133" s="7">
        <v>51</v>
      </c>
      <c r="B133" s="7" t="s">
        <v>873</v>
      </c>
      <c r="C133" s="7">
        <v>132</v>
      </c>
      <c r="D133" s="7">
        <v>35.61</v>
      </c>
      <c r="E133" s="7">
        <v>726</v>
      </c>
    </row>
    <row r="134" spans="1:7" x14ac:dyDescent="0.2">
      <c r="A134" s="7">
        <v>43</v>
      </c>
      <c r="B134" s="7" t="s">
        <v>865</v>
      </c>
      <c r="C134" s="7">
        <v>126</v>
      </c>
      <c r="D134" s="7">
        <v>15.87</v>
      </c>
      <c r="E134" s="7">
        <v>596</v>
      </c>
      <c r="F134" t="s">
        <v>1047</v>
      </c>
      <c r="G134" t="s">
        <v>1049</v>
      </c>
    </row>
    <row r="135" spans="1:7" x14ac:dyDescent="0.2">
      <c r="A135" s="7">
        <v>44</v>
      </c>
      <c r="B135" s="7" t="s">
        <v>866</v>
      </c>
      <c r="C135" s="7">
        <v>126</v>
      </c>
      <c r="D135" s="7">
        <v>15.87</v>
      </c>
      <c r="E135" s="7">
        <v>596</v>
      </c>
      <c r="F135" t="s">
        <v>1047</v>
      </c>
      <c r="G135" t="s">
        <v>1049</v>
      </c>
    </row>
    <row r="136" spans="1:7" x14ac:dyDescent="0.2">
      <c r="A136" s="7">
        <v>45</v>
      </c>
      <c r="B136" s="7" t="s">
        <v>867</v>
      </c>
      <c r="C136" s="7">
        <v>126</v>
      </c>
      <c r="D136" s="7">
        <v>15.87</v>
      </c>
      <c r="E136" s="7">
        <v>596</v>
      </c>
      <c r="F136" t="s">
        <v>1047</v>
      </c>
      <c r="G136" t="s">
        <v>1049</v>
      </c>
    </row>
    <row r="137" spans="1:7" x14ac:dyDescent="0.2">
      <c r="A137" s="7">
        <v>46</v>
      </c>
      <c r="B137" s="7" t="s">
        <v>868</v>
      </c>
      <c r="C137" s="7">
        <v>126</v>
      </c>
      <c r="D137" s="7">
        <v>15.87</v>
      </c>
      <c r="E137" s="7">
        <v>596</v>
      </c>
      <c r="F137" t="s">
        <v>1047</v>
      </c>
      <c r="G137" t="s">
        <v>1049</v>
      </c>
    </row>
    <row r="138" spans="1:7" x14ac:dyDescent="0.2">
      <c r="A138" s="7">
        <v>47</v>
      </c>
      <c r="B138" s="7" t="s">
        <v>869</v>
      </c>
      <c r="C138" s="7">
        <v>126</v>
      </c>
      <c r="D138" s="7">
        <v>15.87</v>
      </c>
      <c r="E138" s="7">
        <v>596</v>
      </c>
      <c r="F138" t="s">
        <v>1047</v>
      </c>
      <c r="G138" t="s">
        <v>1049</v>
      </c>
    </row>
    <row r="139" spans="1:7" x14ac:dyDescent="0.2">
      <c r="A139" s="7">
        <v>54</v>
      </c>
      <c r="B139" s="7" t="s">
        <v>876</v>
      </c>
      <c r="C139" s="7">
        <v>126</v>
      </c>
      <c r="D139" s="7">
        <v>15.87</v>
      </c>
      <c r="E139" s="7">
        <v>596</v>
      </c>
      <c r="F139" t="s">
        <v>1047</v>
      </c>
      <c r="G139" t="s">
        <v>1049</v>
      </c>
    </row>
    <row r="140" spans="1:7" x14ac:dyDescent="0.2">
      <c r="A140" s="7">
        <v>56</v>
      </c>
      <c r="B140" s="7" t="s">
        <v>878</v>
      </c>
      <c r="C140" s="7">
        <v>126</v>
      </c>
      <c r="D140" s="7">
        <v>15.87</v>
      </c>
      <c r="E140" s="7">
        <v>596</v>
      </c>
      <c r="F140" t="s">
        <v>1047</v>
      </c>
      <c r="G140" t="s">
        <v>1049</v>
      </c>
    </row>
    <row r="141" spans="1:7" x14ac:dyDescent="0.2">
      <c r="A141" s="7">
        <v>57</v>
      </c>
      <c r="B141" s="7" t="s">
        <v>879</v>
      </c>
      <c r="C141" s="7">
        <v>126</v>
      </c>
      <c r="D141" s="7">
        <v>15.87</v>
      </c>
      <c r="E141" s="7">
        <v>596</v>
      </c>
      <c r="F141" t="s">
        <v>1047</v>
      </c>
      <c r="G141" t="s">
        <v>1049</v>
      </c>
    </row>
    <row r="142" spans="1:7" x14ac:dyDescent="0.2">
      <c r="A142" s="7">
        <v>58</v>
      </c>
      <c r="B142" s="7" t="s">
        <v>880</v>
      </c>
      <c r="C142" s="7">
        <v>126</v>
      </c>
      <c r="D142" s="7">
        <v>15.87</v>
      </c>
      <c r="E142" s="7">
        <v>596</v>
      </c>
      <c r="F142" t="s">
        <v>1047</v>
      </c>
      <c r="G142" t="s">
        <v>1049</v>
      </c>
    </row>
    <row r="143" spans="1:7" x14ac:dyDescent="0.2">
      <c r="A143" s="7">
        <v>60</v>
      </c>
      <c r="B143" s="7" t="s">
        <v>882</v>
      </c>
      <c r="C143" s="7">
        <v>126</v>
      </c>
      <c r="D143" s="7">
        <v>15.87</v>
      </c>
      <c r="E143" s="7">
        <v>596</v>
      </c>
      <c r="F143" t="s">
        <v>1047</v>
      </c>
      <c r="G143" t="s">
        <v>1049</v>
      </c>
    </row>
    <row r="144" spans="1:7" x14ac:dyDescent="0.2">
      <c r="A144" s="7">
        <v>64</v>
      </c>
      <c r="B144" s="7" t="s">
        <v>886</v>
      </c>
      <c r="C144" s="7">
        <v>126</v>
      </c>
      <c r="D144" s="7">
        <v>15.87</v>
      </c>
      <c r="E144" s="7">
        <v>596</v>
      </c>
      <c r="F144" t="s">
        <v>1047</v>
      </c>
      <c r="G144" t="s">
        <v>1049</v>
      </c>
    </row>
    <row r="145" spans="1:7" x14ac:dyDescent="0.2">
      <c r="A145" s="7">
        <v>65</v>
      </c>
      <c r="B145" s="7" t="s">
        <v>887</v>
      </c>
      <c r="C145" s="7">
        <v>126</v>
      </c>
      <c r="D145" s="7">
        <v>15.87</v>
      </c>
      <c r="E145" s="7">
        <v>596</v>
      </c>
      <c r="F145" t="s">
        <v>1047</v>
      </c>
      <c r="G145" t="s">
        <v>1049</v>
      </c>
    </row>
    <row r="146" spans="1:7" x14ac:dyDescent="0.2">
      <c r="A146" s="7">
        <v>66</v>
      </c>
      <c r="B146" s="7" t="s">
        <v>888</v>
      </c>
      <c r="C146" s="7">
        <v>126</v>
      </c>
      <c r="D146" s="7">
        <v>15.87</v>
      </c>
      <c r="E146" s="7">
        <v>596</v>
      </c>
      <c r="F146" t="s">
        <v>1047</v>
      </c>
      <c r="G146" t="s">
        <v>1049</v>
      </c>
    </row>
    <row r="147" spans="1:7" x14ac:dyDescent="0.2">
      <c r="A147" s="7">
        <v>67</v>
      </c>
      <c r="B147" s="7" t="s">
        <v>889</v>
      </c>
      <c r="C147" s="7">
        <v>126</v>
      </c>
      <c r="D147" s="7">
        <v>15.87</v>
      </c>
      <c r="E147" s="7">
        <v>596</v>
      </c>
      <c r="F147" t="s">
        <v>1047</v>
      </c>
      <c r="G147" t="s">
        <v>1049</v>
      </c>
    </row>
    <row r="148" spans="1:7" x14ac:dyDescent="0.2">
      <c r="A148" s="7">
        <v>68</v>
      </c>
      <c r="B148" s="7" t="s">
        <v>890</v>
      </c>
      <c r="C148" s="7">
        <v>126</v>
      </c>
      <c r="D148" s="7">
        <v>15.87</v>
      </c>
      <c r="E148" s="7">
        <v>596</v>
      </c>
      <c r="F148" t="s">
        <v>1047</v>
      </c>
      <c r="G148" t="s">
        <v>1049</v>
      </c>
    </row>
    <row r="149" spans="1:7" x14ac:dyDescent="0.2">
      <c r="A149" s="7">
        <v>69</v>
      </c>
      <c r="B149" s="7" t="s">
        <v>891</v>
      </c>
      <c r="C149" s="7">
        <v>126</v>
      </c>
      <c r="D149" s="7">
        <v>15.87</v>
      </c>
      <c r="E149" s="7">
        <v>596</v>
      </c>
      <c r="F149" t="s">
        <v>1047</v>
      </c>
      <c r="G149" t="s">
        <v>1049</v>
      </c>
    </row>
    <row r="150" spans="1:7" x14ac:dyDescent="0.2">
      <c r="A150" s="7">
        <v>70</v>
      </c>
      <c r="B150" s="7" t="s">
        <v>892</v>
      </c>
      <c r="C150" s="7">
        <v>126</v>
      </c>
      <c r="D150" s="7">
        <v>15.87</v>
      </c>
      <c r="E150" s="7">
        <v>596</v>
      </c>
      <c r="F150" t="s">
        <v>1047</v>
      </c>
      <c r="G150" t="s">
        <v>1049</v>
      </c>
    </row>
    <row r="151" spans="1:7" x14ac:dyDescent="0.2">
      <c r="A151" s="7">
        <v>71</v>
      </c>
      <c r="B151" s="7" t="s">
        <v>893</v>
      </c>
      <c r="C151" s="7">
        <v>126</v>
      </c>
      <c r="D151" s="7">
        <v>15.87</v>
      </c>
      <c r="E151" s="7">
        <v>596</v>
      </c>
      <c r="F151" t="s">
        <v>1047</v>
      </c>
      <c r="G151" t="s">
        <v>1049</v>
      </c>
    </row>
    <row r="152" spans="1:7" x14ac:dyDescent="0.2">
      <c r="A152" s="7">
        <v>77</v>
      </c>
      <c r="B152" s="7" t="s">
        <v>899</v>
      </c>
      <c r="C152" s="7">
        <v>126</v>
      </c>
      <c r="D152" s="7">
        <v>15.87</v>
      </c>
      <c r="E152" s="7">
        <v>596</v>
      </c>
      <c r="F152" t="s">
        <v>1047</v>
      </c>
      <c r="G152" t="s">
        <v>1049</v>
      </c>
    </row>
    <row r="153" spans="1:7" x14ac:dyDescent="0.2">
      <c r="A153" s="7">
        <v>78</v>
      </c>
      <c r="B153" s="7" t="s">
        <v>900</v>
      </c>
      <c r="C153" s="7">
        <v>126</v>
      </c>
      <c r="D153" s="7">
        <v>15.87</v>
      </c>
      <c r="E153" s="7">
        <v>596</v>
      </c>
      <c r="F153" t="s">
        <v>1047</v>
      </c>
      <c r="G153" t="s">
        <v>1049</v>
      </c>
    </row>
    <row r="154" spans="1:7" x14ac:dyDescent="0.2">
      <c r="A154" s="7">
        <v>84</v>
      </c>
      <c r="B154" s="7" t="s">
        <v>906</v>
      </c>
      <c r="C154" s="7">
        <v>126</v>
      </c>
      <c r="D154" s="7">
        <v>15.87</v>
      </c>
      <c r="E154" s="7">
        <v>596</v>
      </c>
      <c r="F154" t="s">
        <v>1047</v>
      </c>
      <c r="G154" t="s">
        <v>1049</v>
      </c>
    </row>
    <row r="155" spans="1:7" x14ac:dyDescent="0.2">
      <c r="A155" s="7">
        <v>85</v>
      </c>
      <c r="B155" s="7" t="s">
        <v>907</v>
      </c>
      <c r="C155" s="7">
        <v>126</v>
      </c>
      <c r="D155" s="7">
        <v>15.87</v>
      </c>
      <c r="E155" s="7">
        <v>596</v>
      </c>
      <c r="F155" t="s">
        <v>1047</v>
      </c>
      <c r="G155" t="s">
        <v>1049</v>
      </c>
    </row>
    <row r="156" spans="1:7" x14ac:dyDescent="0.2">
      <c r="A156" s="7">
        <v>87</v>
      </c>
      <c r="B156" s="7" t="s">
        <v>909</v>
      </c>
      <c r="C156" s="7">
        <v>126</v>
      </c>
      <c r="D156" s="7">
        <v>15.87</v>
      </c>
      <c r="E156" s="7">
        <v>596</v>
      </c>
      <c r="F156" t="s">
        <v>1047</v>
      </c>
      <c r="G156" t="s">
        <v>1049</v>
      </c>
    </row>
    <row r="157" spans="1:7" x14ac:dyDescent="0.2">
      <c r="A157" s="7">
        <v>88</v>
      </c>
      <c r="B157" s="7" t="s">
        <v>910</v>
      </c>
      <c r="C157" s="7">
        <v>126</v>
      </c>
      <c r="D157" s="7">
        <v>15.87</v>
      </c>
      <c r="E157" s="7">
        <v>596</v>
      </c>
      <c r="F157" t="s">
        <v>1047</v>
      </c>
      <c r="G157" t="s">
        <v>1049</v>
      </c>
    </row>
    <row r="158" spans="1:7" x14ac:dyDescent="0.2">
      <c r="A158" s="7">
        <v>89</v>
      </c>
      <c r="B158" s="7" t="s">
        <v>911</v>
      </c>
      <c r="C158" s="7">
        <v>126</v>
      </c>
      <c r="D158" s="7">
        <v>15.87</v>
      </c>
      <c r="E158" s="7">
        <v>596</v>
      </c>
      <c r="F158" t="s">
        <v>1047</v>
      </c>
      <c r="G158" t="s">
        <v>1049</v>
      </c>
    </row>
    <row r="159" spans="1:7" x14ac:dyDescent="0.2">
      <c r="A159" s="7">
        <v>92</v>
      </c>
      <c r="B159" s="7" t="s">
        <v>914</v>
      </c>
      <c r="C159" s="7">
        <v>126</v>
      </c>
      <c r="D159" s="7">
        <v>15.87</v>
      </c>
      <c r="E159" s="7">
        <v>596</v>
      </c>
      <c r="F159" t="s">
        <v>1047</v>
      </c>
      <c r="G159" t="s">
        <v>1049</v>
      </c>
    </row>
    <row r="160" spans="1:7" x14ac:dyDescent="0.2">
      <c r="A160" s="7">
        <v>98</v>
      </c>
      <c r="B160" s="7" t="s">
        <v>920</v>
      </c>
      <c r="C160" s="7">
        <v>126</v>
      </c>
      <c r="D160" s="7">
        <v>15.87</v>
      </c>
      <c r="E160" s="7">
        <v>596</v>
      </c>
      <c r="F160" t="s">
        <v>1047</v>
      </c>
      <c r="G160" t="s">
        <v>1049</v>
      </c>
    </row>
    <row r="161" spans="1:7" x14ac:dyDescent="0.2">
      <c r="A161" s="7">
        <v>101</v>
      </c>
      <c r="B161" s="7" t="s">
        <v>923</v>
      </c>
      <c r="C161" s="7">
        <v>126</v>
      </c>
      <c r="D161" s="7">
        <v>15.87</v>
      </c>
      <c r="E161" s="7">
        <v>596</v>
      </c>
      <c r="F161" t="s">
        <v>1047</v>
      </c>
      <c r="G161" t="s">
        <v>1049</v>
      </c>
    </row>
    <row r="162" spans="1:7" x14ac:dyDescent="0.2">
      <c r="A162" s="7">
        <v>102</v>
      </c>
      <c r="B162" s="7" t="s">
        <v>924</v>
      </c>
      <c r="C162" s="7">
        <v>126</v>
      </c>
      <c r="D162" s="7">
        <v>15.87</v>
      </c>
      <c r="E162" s="7">
        <v>596</v>
      </c>
      <c r="F162" t="s">
        <v>1047</v>
      </c>
      <c r="G162" t="s">
        <v>1049</v>
      </c>
    </row>
    <row r="163" spans="1:7" x14ac:dyDescent="0.2">
      <c r="A163" s="7">
        <v>103</v>
      </c>
      <c r="B163" s="7" t="s">
        <v>925</v>
      </c>
      <c r="C163" s="7">
        <v>126</v>
      </c>
      <c r="D163" s="7">
        <v>15.87</v>
      </c>
      <c r="E163" s="7">
        <v>596</v>
      </c>
      <c r="F163" t="s">
        <v>1047</v>
      </c>
      <c r="G163" t="s">
        <v>1049</v>
      </c>
    </row>
    <row r="164" spans="1:7" x14ac:dyDescent="0.2">
      <c r="A164" s="7">
        <v>108</v>
      </c>
      <c r="B164" s="7" t="s">
        <v>930</v>
      </c>
      <c r="C164" s="7">
        <v>126</v>
      </c>
      <c r="D164" s="7">
        <v>16.670000000000002</v>
      </c>
      <c r="E164" s="7">
        <v>664</v>
      </c>
    </row>
    <row r="165" spans="1:7" x14ac:dyDescent="0.2">
      <c r="A165" s="7">
        <v>14</v>
      </c>
      <c r="B165" s="7" t="s">
        <v>836</v>
      </c>
      <c r="C165" s="7">
        <v>123</v>
      </c>
      <c r="D165" s="7">
        <v>15.45</v>
      </c>
      <c r="E165" s="7">
        <v>748</v>
      </c>
    </row>
    <row r="166" spans="1:7" x14ac:dyDescent="0.2">
      <c r="A166" s="7">
        <v>104</v>
      </c>
      <c r="B166" s="7" t="s">
        <v>926</v>
      </c>
      <c r="C166" s="7">
        <v>114</v>
      </c>
      <c r="D166" s="7">
        <v>16.670000000000002</v>
      </c>
      <c r="E166" s="7">
        <v>633</v>
      </c>
    </row>
    <row r="167" spans="1:7" x14ac:dyDescent="0.2">
      <c r="A167" s="7">
        <v>131</v>
      </c>
      <c r="B167" s="7" t="s">
        <v>953</v>
      </c>
      <c r="C167" s="7">
        <v>114</v>
      </c>
      <c r="D167" s="7">
        <v>16.670000000000002</v>
      </c>
      <c r="E167" s="7">
        <v>633</v>
      </c>
    </row>
    <row r="168" spans="1:7" x14ac:dyDescent="0.2">
      <c r="A168" s="7">
        <v>100</v>
      </c>
      <c r="B168" s="7" t="s">
        <v>922</v>
      </c>
      <c r="C168" s="7">
        <v>114</v>
      </c>
      <c r="D168" s="7">
        <v>17.54</v>
      </c>
      <c r="E168" s="7">
        <v>636</v>
      </c>
    </row>
    <row r="169" spans="1:7" x14ac:dyDescent="0.2">
      <c r="A169" s="7">
        <v>52</v>
      </c>
      <c r="B169" s="7" t="s">
        <v>874</v>
      </c>
      <c r="C169" s="7">
        <v>114</v>
      </c>
      <c r="D169" s="7">
        <v>18.420000000000002</v>
      </c>
      <c r="E169" s="7">
        <v>728</v>
      </c>
    </row>
    <row r="170" spans="1:7" x14ac:dyDescent="0.2">
      <c r="A170" s="7">
        <v>122</v>
      </c>
      <c r="B170" s="7" t="s">
        <v>944</v>
      </c>
      <c r="C170" s="7">
        <v>108</v>
      </c>
      <c r="D170" s="7">
        <v>20.37</v>
      </c>
      <c r="E170" s="7">
        <v>773</v>
      </c>
    </row>
    <row r="171" spans="1:7" x14ac:dyDescent="0.2">
      <c r="A171" s="7">
        <v>50</v>
      </c>
      <c r="B171" s="7" t="s">
        <v>872</v>
      </c>
      <c r="C171" s="7">
        <v>105</v>
      </c>
      <c r="D171" s="7">
        <v>25.71</v>
      </c>
      <c r="E171" s="7">
        <v>724</v>
      </c>
    </row>
    <row r="172" spans="1:7" x14ac:dyDescent="0.2">
      <c r="A172" s="7">
        <v>6</v>
      </c>
      <c r="B172" s="7" t="s">
        <v>828</v>
      </c>
      <c r="C172" s="7">
        <v>99</v>
      </c>
      <c r="D172" s="7">
        <v>17.170000000000002</v>
      </c>
      <c r="E172" s="7">
        <v>706</v>
      </c>
    </row>
    <row r="173" spans="1:7" x14ac:dyDescent="0.2">
      <c r="A173" s="7">
        <v>123</v>
      </c>
      <c r="B173" s="7" t="s">
        <v>945</v>
      </c>
      <c r="C173" s="7">
        <v>99</v>
      </c>
      <c r="D173" s="7">
        <v>15.15</v>
      </c>
      <c r="E173" s="7">
        <v>774</v>
      </c>
    </row>
    <row r="174" spans="1:7" x14ac:dyDescent="0.2">
      <c r="A174" s="7">
        <v>86</v>
      </c>
      <c r="B174" s="7" t="s">
        <v>908</v>
      </c>
      <c r="C174" s="7">
        <v>90</v>
      </c>
      <c r="D174" s="7">
        <v>21.11</v>
      </c>
      <c r="E174" s="7">
        <v>636</v>
      </c>
    </row>
    <row r="175" spans="1:7" x14ac:dyDescent="0.2">
      <c r="A175" s="7">
        <v>140</v>
      </c>
      <c r="B175" s="7" t="s">
        <v>962</v>
      </c>
      <c r="C175" s="7">
        <v>90</v>
      </c>
      <c r="D175" s="7">
        <v>16.670000000000002</v>
      </c>
      <c r="E175" s="7">
        <v>746</v>
      </c>
    </row>
    <row r="176" spans="1:7" x14ac:dyDescent="0.2">
      <c r="A176" s="7">
        <v>161</v>
      </c>
      <c r="B176" s="7" t="s">
        <v>983</v>
      </c>
      <c r="C176" s="7">
        <v>78</v>
      </c>
      <c r="D176" s="7">
        <v>14.1</v>
      </c>
      <c r="E176" s="7">
        <v>627</v>
      </c>
      <c r="F176" t="s">
        <v>1047</v>
      </c>
      <c r="G176" t="s">
        <v>1049</v>
      </c>
    </row>
    <row r="177" spans="1:7" x14ac:dyDescent="0.2">
      <c r="A177" s="7">
        <v>173</v>
      </c>
      <c r="B177" s="7" t="s">
        <v>995</v>
      </c>
      <c r="C177" s="7">
        <v>78</v>
      </c>
      <c r="D177" s="7">
        <v>14.1</v>
      </c>
      <c r="E177" s="7">
        <v>627</v>
      </c>
      <c r="F177" t="s">
        <v>1047</v>
      </c>
      <c r="G177" t="s">
        <v>1049</v>
      </c>
    </row>
  </sheetData>
  <sortState xmlns:xlrd2="http://schemas.microsoft.com/office/spreadsheetml/2017/richdata2" ref="A2:H177">
    <sortCondition descending="1" ref="C1:C177"/>
  </sortState>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8C9A6-C59A-6447-B3EE-636FAE85BD0D}">
  <sheetPr filterMode="1"/>
  <dimension ref="A1:R198"/>
  <sheetViews>
    <sheetView workbookViewId="0">
      <selection activeCell="P37" sqref="P37:P196"/>
    </sheetView>
  </sheetViews>
  <sheetFormatPr baseColWidth="10" defaultRowHeight="16" x14ac:dyDescent="0.2"/>
  <cols>
    <col min="2" max="2" width="61.1640625" customWidth="1"/>
    <col min="3" max="3" width="18.5" customWidth="1"/>
    <col min="4" max="4" width="23.33203125" customWidth="1"/>
    <col min="5" max="5" width="10.83203125" customWidth="1"/>
    <col min="6" max="6" width="6.33203125" customWidth="1"/>
    <col min="7" max="7" width="12.33203125" customWidth="1"/>
    <col min="13" max="13" width="48.83203125" customWidth="1"/>
    <col min="14" max="14" width="44.6640625" customWidth="1"/>
  </cols>
  <sheetData>
    <row r="1" spans="1:18" x14ac:dyDescent="0.2">
      <c r="B1" s="4" t="s">
        <v>822</v>
      </c>
      <c r="C1" s="3" t="s">
        <v>384</v>
      </c>
      <c r="D1" s="4" t="s">
        <v>397</v>
      </c>
      <c r="E1" s="4" t="s">
        <v>401</v>
      </c>
      <c r="F1" s="4" t="s">
        <v>402</v>
      </c>
      <c r="G1" s="4" t="s">
        <v>315</v>
      </c>
      <c r="H1" s="4" t="s">
        <v>413</v>
      </c>
      <c r="I1" s="4" t="s">
        <v>1055</v>
      </c>
      <c r="J1" s="4" t="s">
        <v>415</v>
      </c>
      <c r="K1" s="4" t="s">
        <v>416</v>
      </c>
      <c r="L1" s="4" t="s">
        <v>421</v>
      </c>
      <c r="M1" s="4" t="s">
        <v>317</v>
      </c>
      <c r="N1" s="4" t="s">
        <v>316</v>
      </c>
      <c r="O1" s="4" t="s">
        <v>1349</v>
      </c>
      <c r="P1" s="4" t="s">
        <v>1360</v>
      </c>
      <c r="Q1" s="4" t="s">
        <v>322</v>
      </c>
      <c r="R1" s="4" t="s">
        <v>1361</v>
      </c>
    </row>
    <row r="2" spans="1:18" hidden="1" x14ac:dyDescent="0.2">
      <c r="A2">
        <v>187</v>
      </c>
      <c r="B2" t="s">
        <v>1331</v>
      </c>
      <c r="C2" t="s">
        <v>1332</v>
      </c>
      <c r="D2" t="s">
        <v>1334</v>
      </c>
      <c r="E2">
        <v>1341</v>
      </c>
      <c r="F2">
        <v>26.03</v>
      </c>
      <c r="G2">
        <v>48</v>
      </c>
      <c r="H2">
        <v>245</v>
      </c>
      <c r="I2">
        <v>27.709510204081599</v>
      </c>
      <c r="J2">
        <v>1.3177590335350799</v>
      </c>
      <c r="K2">
        <v>1017.63673469388</v>
      </c>
      <c r="L2">
        <v>48</v>
      </c>
      <c r="M2" t="s">
        <v>791</v>
      </c>
      <c r="N2" t="s">
        <v>1380</v>
      </c>
      <c r="O2" t="s">
        <v>1333</v>
      </c>
      <c r="Q2">
        <v>1</v>
      </c>
      <c r="R2">
        <f>P2+Q2</f>
        <v>1</v>
      </c>
    </row>
    <row r="3" spans="1:18" x14ac:dyDescent="0.2">
      <c r="A3">
        <v>84</v>
      </c>
      <c r="B3" t="s">
        <v>1180</v>
      </c>
      <c r="C3" t="s">
        <v>1181</v>
      </c>
      <c r="D3" t="s">
        <v>1183</v>
      </c>
      <c r="E3">
        <v>4179</v>
      </c>
      <c r="F3">
        <v>22.71</v>
      </c>
      <c r="G3">
        <v>66</v>
      </c>
      <c r="H3">
        <v>245</v>
      </c>
      <c r="I3">
        <v>25.927959183673501</v>
      </c>
      <c r="J3">
        <v>1.78260460791944</v>
      </c>
      <c r="K3">
        <v>2344.3224489795898</v>
      </c>
      <c r="L3">
        <v>66</v>
      </c>
      <c r="M3" t="s">
        <v>1348</v>
      </c>
      <c r="N3" t="s">
        <v>1381</v>
      </c>
      <c r="O3" t="s">
        <v>1182</v>
      </c>
      <c r="Q3">
        <v>1</v>
      </c>
      <c r="R3">
        <f t="shared" ref="R3:R10" si="0">P3+Q3</f>
        <v>1</v>
      </c>
    </row>
    <row r="4" spans="1:18" hidden="1" x14ac:dyDescent="0.2">
      <c r="A4">
        <v>128</v>
      </c>
      <c r="B4" t="s">
        <v>1251</v>
      </c>
      <c r="C4" t="s">
        <v>1252</v>
      </c>
      <c r="D4" t="s">
        <v>1253</v>
      </c>
      <c r="E4">
        <v>1932</v>
      </c>
      <c r="F4">
        <v>23.5</v>
      </c>
      <c r="G4">
        <v>73</v>
      </c>
      <c r="H4">
        <v>245</v>
      </c>
      <c r="I4">
        <v>28.8338367346939</v>
      </c>
      <c r="J4">
        <v>1.76483747567169</v>
      </c>
      <c r="K4">
        <v>1094.7183673469401</v>
      </c>
      <c r="L4">
        <v>73</v>
      </c>
      <c r="M4" t="s">
        <v>1350</v>
      </c>
      <c r="N4" t="s">
        <v>1351</v>
      </c>
      <c r="O4" t="s">
        <v>1352</v>
      </c>
      <c r="R4">
        <v>1</v>
      </c>
    </row>
    <row r="5" spans="1:18" hidden="1" x14ac:dyDescent="0.2">
      <c r="A5">
        <v>43</v>
      </c>
      <c r="B5" t="s">
        <v>1129</v>
      </c>
      <c r="C5" t="s">
        <v>1130</v>
      </c>
      <c r="D5" t="s">
        <v>1131</v>
      </c>
      <c r="E5">
        <v>1497</v>
      </c>
      <c r="F5">
        <v>20.64</v>
      </c>
      <c r="G5">
        <v>158</v>
      </c>
      <c r="H5">
        <v>245</v>
      </c>
      <c r="I5">
        <v>26.468367346938798</v>
      </c>
      <c r="J5">
        <v>1.90930955318518</v>
      </c>
      <c r="K5">
        <v>784.05306122448997</v>
      </c>
      <c r="L5">
        <v>158</v>
      </c>
      <c r="M5" t="s">
        <v>1350</v>
      </c>
      <c r="N5" t="s">
        <v>1354</v>
      </c>
      <c r="O5" t="s">
        <v>1353</v>
      </c>
      <c r="R5">
        <v>1</v>
      </c>
    </row>
    <row r="6" spans="1:18" x14ac:dyDescent="0.2">
      <c r="A6">
        <v>90</v>
      </c>
      <c r="B6" t="s">
        <v>1194</v>
      </c>
      <c r="C6" t="s">
        <v>1195</v>
      </c>
      <c r="D6" t="s">
        <v>1197</v>
      </c>
      <c r="E6">
        <v>693</v>
      </c>
      <c r="F6">
        <v>22.22</v>
      </c>
      <c r="G6">
        <v>182</v>
      </c>
      <c r="H6">
        <v>245</v>
      </c>
      <c r="I6">
        <v>23.672857142857101</v>
      </c>
      <c r="J6">
        <v>1.5403353110881299</v>
      </c>
      <c r="K6">
        <v>449.90204081632697</v>
      </c>
      <c r="L6">
        <v>182</v>
      </c>
      <c r="M6" t="s">
        <v>1348</v>
      </c>
      <c r="N6" t="s">
        <v>1382</v>
      </c>
      <c r="O6" t="s">
        <v>1196</v>
      </c>
      <c r="Q6">
        <v>1</v>
      </c>
      <c r="R6">
        <f t="shared" si="0"/>
        <v>1</v>
      </c>
    </row>
    <row r="7" spans="1:18" x14ac:dyDescent="0.2">
      <c r="A7">
        <v>12</v>
      </c>
      <c r="B7" t="s">
        <v>1084</v>
      </c>
      <c r="C7" t="s">
        <v>1085</v>
      </c>
      <c r="D7" t="s">
        <v>1087</v>
      </c>
      <c r="E7">
        <v>420</v>
      </c>
      <c r="F7">
        <v>27.14</v>
      </c>
      <c r="G7">
        <v>216</v>
      </c>
      <c r="H7">
        <v>245</v>
      </c>
      <c r="I7">
        <v>25.8277551020408</v>
      </c>
      <c r="J7">
        <v>1.41018788800724</v>
      </c>
      <c r="K7">
        <v>297.83265306122502</v>
      </c>
      <c r="L7">
        <v>216</v>
      </c>
      <c r="M7" t="s">
        <v>1348</v>
      </c>
      <c r="N7" t="s">
        <v>1381</v>
      </c>
      <c r="O7" t="s">
        <v>1086</v>
      </c>
      <c r="Q7">
        <v>1</v>
      </c>
      <c r="R7">
        <f t="shared" si="0"/>
        <v>1</v>
      </c>
    </row>
    <row r="8" spans="1:18" x14ac:dyDescent="0.2">
      <c r="A8">
        <v>68</v>
      </c>
      <c r="B8" t="s">
        <v>1157</v>
      </c>
      <c r="C8" t="s">
        <v>1085</v>
      </c>
      <c r="D8" t="s">
        <v>1087</v>
      </c>
      <c r="E8">
        <v>420</v>
      </c>
      <c r="F8">
        <v>26.9</v>
      </c>
      <c r="G8">
        <v>216</v>
      </c>
      <c r="H8">
        <v>245</v>
      </c>
      <c r="I8">
        <v>25.8277551020408</v>
      </c>
      <c r="J8">
        <v>1.41018788800724</v>
      </c>
      <c r="K8">
        <v>297.83265306122502</v>
      </c>
      <c r="L8">
        <v>216</v>
      </c>
      <c r="M8" t="s">
        <v>1348</v>
      </c>
      <c r="N8" t="s">
        <v>1381</v>
      </c>
      <c r="O8" t="s">
        <v>1086</v>
      </c>
      <c r="Q8">
        <v>1</v>
      </c>
      <c r="R8">
        <f t="shared" si="0"/>
        <v>1</v>
      </c>
    </row>
    <row r="9" spans="1:18" x14ac:dyDescent="0.2">
      <c r="A9">
        <v>156</v>
      </c>
      <c r="B9" t="s">
        <v>1294</v>
      </c>
      <c r="C9" t="s">
        <v>1085</v>
      </c>
      <c r="D9" t="s">
        <v>1087</v>
      </c>
      <c r="E9">
        <v>399</v>
      </c>
      <c r="F9">
        <v>23.06</v>
      </c>
      <c r="G9">
        <v>216</v>
      </c>
      <c r="H9">
        <v>245</v>
      </c>
      <c r="I9">
        <v>25.8277551020408</v>
      </c>
      <c r="J9">
        <v>1.33967849360687</v>
      </c>
      <c r="K9">
        <v>297.83265306122502</v>
      </c>
      <c r="L9">
        <v>216</v>
      </c>
      <c r="M9" t="s">
        <v>1348</v>
      </c>
      <c r="N9" t="s">
        <v>1381</v>
      </c>
      <c r="O9" t="s">
        <v>1086</v>
      </c>
      <c r="Q9">
        <v>1</v>
      </c>
      <c r="R9">
        <f t="shared" si="0"/>
        <v>1</v>
      </c>
    </row>
    <row r="10" spans="1:18" x14ac:dyDescent="0.2">
      <c r="A10">
        <v>191</v>
      </c>
      <c r="B10" t="s">
        <v>1338</v>
      </c>
      <c r="C10" t="s">
        <v>1085</v>
      </c>
      <c r="D10" t="s">
        <v>1087</v>
      </c>
      <c r="E10">
        <v>396</v>
      </c>
      <c r="F10">
        <v>25.51</v>
      </c>
      <c r="G10">
        <v>216</v>
      </c>
      <c r="H10">
        <v>245</v>
      </c>
      <c r="I10">
        <v>25.8277551020408</v>
      </c>
      <c r="J10">
        <v>1.3296057229782501</v>
      </c>
      <c r="K10">
        <v>297.83265306122502</v>
      </c>
      <c r="L10">
        <v>216</v>
      </c>
      <c r="M10" t="s">
        <v>1348</v>
      </c>
      <c r="N10" t="s">
        <v>1381</v>
      </c>
      <c r="O10" t="s">
        <v>1086</v>
      </c>
      <c r="Q10">
        <v>1</v>
      </c>
      <c r="R10">
        <f t="shared" si="0"/>
        <v>1</v>
      </c>
    </row>
    <row r="11" spans="1:18" hidden="1" x14ac:dyDescent="0.2">
      <c r="A11">
        <v>111</v>
      </c>
      <c r="B11" t="s">
        <v>1223</v>
      </c>
      <c r="C11" t="s">
        <v>1224</v>
      </c>
      <c r="D11" t="s">
        <v>1225</v>
      </c>
      <c r="E11">
        <v>333</v>
      </c>
      <c r="F11">
        <v>28.53</v>
      </c>
      <c r="G11">
        <v>268</v>
      </c>
      <c r="H11">
        <v>245</v>
      </c>
      <c r="I11">
        <v>34.144326530612197</v>
      </c>
      <c r="J11">
        <v>1.38298413344182</v>
      </c>
      <c r="K11">
        <v>240.78367346938799</v>
      </c>
      <c r="L11">
        <v>268</v>
      </c>
      <c r="M11" t="s">
        <v>1355</v>
      </c>
      <c r="O11" t="s">
        <v>1225</v>
      </c>
      <c r="P11">
        <v>1</v>
      </c>
      <c r="R11">
        <f t="shared" ref="R11:R42" si="1">P11+Q11</f>
        <v>1</v>
      </c>
    </row>
    <row r="12" spans="1:18" x14ac:dyDescent="0.2">
      <c r="A12">
        <v>4</v>
      </c>
      <c r="B12" t="s">
        <v>1065</v>
      </c>
      <c r="C12" t="s">
        <v>1066</v>
      </c>
      <c r="D12" t="s">
        <v>1068</v>
      </c>
      <c r="E12">
        <v>450</v>
      </c>
      <c r="F12">
        <v>16.22</v>
      </c>
      <c r="G12">
        <v>273</v>
      </c>
      <c r="H12">
        <v>245</v>
      </c>
      <c r="I12">
        <v>21.695755102040799</v>
      </c>
      <c r="J12">
        <v>1.74360677515775</v>
      </c>
      <c r="K12">
        <v>258.085714285714</v>
      </c>
      <c r="L12">
        <v>273</v>
      </c>
      <c r="M12" t="s">
        <v>1348</v>
      </c>
      <c r="N12" t="s">
        <v>1382</v>
      </c>
      <c r="O12" t="s">
        <v>1067</v>
      </c>
      <c r="Q12">
        <v>1</v>
      </c>
      <c r="R12">
        <f t="shared" si="1"/>
        <v>1</v>
      </c>
    </row>
    <row r="13" spans="1:18" hidden="1" x14ac:dyDescent="0.2">
      <c r="A13">
        <v>132</v>
      </c>
      <c r="B13" t="s">
        <v>1257</v>
      </c>
      <c r="C13" t="s">
        <v>1258</v>
      </c>
      <c r="D13" t="s">
        <v>1260</v>
      </c>
      <c r="E13">
        <v>360</v>
      </c>
      <c r="F13">
        <v>27.78</v>
      </c>
      <c r="G13">
        <v>303</v>
      </c>
      <c r="H13">
        <v>245</v>
      </c>
      <c r="I13">
        <v>28.486040816326501</v>
      </c>
      <c r="J13">
        <v>1.3109198733669201</v>
      </c>
      <c r="K13">
        <v>274.61632653061201</v>
      </c>
      <c r="L13">
        <v>303</v>
      </c>
      <c r="M13" t="s">
        <v>1355</v>
      </c>
      <c r="O13" t="s">
        <v>1259</v>
      </c>
      <c r="P13">
        <v>1</v>
      </c>
      <c r="R13">
        <f t="shared" si="1"/>
        <v>1</v>
      </c>
    </row>
    <row r="14" spans="1:18" hidden="1" x14ac:dyDescent="0.2">
      <c r="A14">
        <v>158</v>
      </c>
      <c r="B14" t="s">
        <v>1296</v>
      </c>
      <c r="C14" t="s">
        <v>1258</v>
      </c>
      <c r="D14" t="s">
        <v>1260</v>
      </c>
      <c r="E14">
        <v>363</v>
      </c>
      <c r="F14">
        <v>28.65</v>
      </c>
      <c r="G14">
        <v>303</v>
      </c>
      <c r="H14">
        <v>245</v>
      </c>
      <c r="I14">
        <v>28.486040816326501</v>
      </c>
      <c r="J14">
        <v>1.32184420564498</v>
      </c>
      <c r="K14">
        <v>274.61632653061201</v>
      </c>
      <c r="L14">
        <v>303</v>
      </c>
      <c r="M14" t="s">
        <v>1355</v>
      </c>
      <c r="O14" t="s">
        <v>1259</v>
      </c>
      <c r="P14">
        <v>1</v>
      </c>
      <c r="R14">
        <f t="shared" si="1"/>
        <v>1</v>
      </c>
    </row>
    <row r="15" spans="1:18" hidden="1" x14ac:dyDescent="0.2">
      <c r="A15">
        <v>176</v>
      </c>
      <c r="B15" t="s">
        <v>1320</v>
      </c>
      <c r="C15" t="s">
        <v>1258</v>
      </c>
      <c r="D15" t="s">
        <v>1260</v>
      </c>
      <c r="E15">
        <v>363</v>
      </c>
      <c r="F15">
        <v>26.45</v>
      </c>
      <c r="G15">
        <v>303</v>
      </c>
      <c r="H15">
        <v>245</v>
      </c>
      <c r="I15">
        <v>28.486040816326501</v>
      </c>
      <c r="J15">
        <v>1.32184420564498</v>
      </c>
      <c r="K15">
        <v>274.61632653061201</v>
      </c>
      <c r="L15">
        <v>303</v>
      </c>
      <c r="M15" t="s">
        <v>1355</v>
      </c>
      <c r="O15" t="s">
        <v>1259</v>
      </c>
      <c r="P15">
        <v>1</v>
      </c>
      <c r="R15">
        <f t="shared" si="1"/>
        <v>1</v>
      </c>
    </row>
    <row r="16" spans="1:18" hidden="1" x14ac:dyDescent="0.2">
      <c r="A16">
        <v>178</v>
      </c>
      <c r="B16" t="s">
        <v>1322</v>
      </c>
      <c r="C16" t="s">
        <v>1258</v>
      </c>
      <c r="D16" t="s">
        <v>1260</v>
      </c>
      <c r="E16">
        <v>363</v>
      </c>
      <c r="F16">
        <v>26.45</v>
      </c>
      <c r="G16">
        <v>303</v>
      </c>
      <c r="H16">
        <v>245</v>
      </c>
      <c r="I16">
        <v>28.486040816326501</v>
      </c>
      <c r="J16">
        <v>1.32184420564498</v>
      </c>
      <c r="K16">
        <v>274.61632653061201</v>
      </c>
      <c r="L16">
        <v>303</v>
      </c>
      <c r="M16" t="s">
        <v>1355</v>
      </c>
      <c r="O16" t="s">
        <v>1259</v>
      </c>
      <c r="P16">
        <v>1</v>
      </c>
      <c r="R16">
        <f t="shared" si="1"/>
        <v>1</v>
      </c>
    </row>
    <row r="17" spans="1:18" hidden="1" x14ac:dyDescent="0.2">
      <c r="A17">
        <v>180</v>
      </c>
      <c r="B17" t="s">
        <v>1324</v>
      </c>
      <c r="C17" t="s">
        <v>1258</v>
      </c>
      <c r="D17" t="s">
        <v>1260</v>
      </c>
      <c r="E17">
        <v>363</v>
      </c>
      <c r="F17">
        <v>26.72</v>
      </c>
      <c r="G17">
        <v>303</v>
      </c>
      <c r="H17">
        <v>245</v>
      </c>
      <c r="I17">
        <v>28.486040816326501</v>
      </c>
      <c r="J17">
        <v>1.32184420564498</v>
      </c>
      <c r="K17">
        <v>274.61632653061201</v>
      </c>
      <c r="L17">
        <v>303</v>
      </c>
      <c r="M17" t="s">
        <v>1355</v>
      </c>
      <c r="O17" t="s">
        <v>1259</v>
      </c>
      <c r="P17">
        <v>1</v>
      </c>
      <c r="R17">
        <f t="shared" si="1"/>
        <v>1</v>
      </c>
    </row>
    <row r="18" spans="1:18" hidden="1" x14ac:dyDescent="0.2">
      <c r="A18">
        <v>125</v>
      </c>
      <c r="B18" t="s">
        <v>1245</v>
      </c>
      <c r="C18" t="s">
        <v>1246</v>
      </c>
      <c r="D18" t="s">
        <v>1248</v>
      </c>
      <c r="E18">
        <v>477</v>
      </c>
      <c r="F18">
        <v>18.45</v>
      </c>
      <c r="G18">
        <v>333</v>
      </c>
      <c r="H18">
        <v>245</v>
      </c>
      <c r="I18">
        <v>22.8857142857143</v>
      </c>
      <c r="J18">
        <v>1.34202638922383</v>
      </c>
      <c r="K18">
        <v>355.43265306122402</v>
      </c>
      <c r="L18">
        <v>333</v>
      </c>
      <c r="M18" t="s">
        <v>1355</v>
      </c>
      <c r="O18" t="s">
        <v>1247</v>
      </c>
      <c r="P18">
        <v>1</v>
      </c>
      <c r="R18">
        <f t="shared" si="1"/>
        <v>1</v>
      </c>
    </row>
    <row r="19" spans="1:18" hidden="1" x14ac:dyDescent="0.2">
      <c r="A19">
        <v>136</v>
      </c>
      <c r="B19" t="s">
        <v>1264</v>
      </c>
      <c r="C19" t="s">
        <v>1265</v>
      </c>
      <c r="D19" t="s">
        <v>1267</v>
      </c>
      <c r="E19">
        <v>516</v>
      </c>
      <c r="F19">
        <v>20.54</v>
      </c>
      <c r="G19">
        <v>346</v>
      </c>
      <c r="H19">
        <v>245</v>
      </c>
      <c r="I19">
        <v>23.388122448979601</v>
      </c>
      <c r="J19">
        <v>1.32382508167881</v>
      </c>
      <c r="K19">
        <v>389.77959183673499</v>
      </c>
      <c r="L19">
        <v>346</v>
      </c>
      <c r="M19" t="s">
        <v>1356</v>
      </c>
      <c r="N19" t="s">
        <v>1374</v>
      </c>
      <c r="O19" t="s">
        <v>1266</v>
      </c>
      <c r="P19">
        <v>1</v>
      </c>
      <c r="R19">
        <f t="shared" si="1"/>
        <v>1</v>
      </c>
    </row>
    <row r="20" spans="1:18" hidden="1" x14ac:dyDescent="0.2">
      <c r="A20">
        <v>112</v>
      </c>
      <c r="B20" t="s">
        <v>1226</v>
      </c>
      <c r="C20" t="s">
        <v>1227</v>
      </c>
      <c r="D20" t="s">
        <v>1229</v>
      </c>
      <c r="E20">
        <v>444</v>
      </c>
      <c r="F20">
        <v>21.17</v>
      </c>
      <c r="G20">
        <v>357</v>
      </c>
      <c r="H20">
        <v>245</v>
      </c>
      <c r="I20">
        <v>19.296244897959198</v>
      </c>
      <c r="J20">
        <v>1.34981200908313</v>
      </c>
      <c r="K20">
        <v>328.93469387755101</v>
      </c>
      <c r="L20">
        <v>357</v>
      </c>
      <c r="M20" t="s">
        <v>1355</v>
      </c>
      <c r="O20" t="s">
        <v>1228</v>
      </c>
      <c r="P20">
        <v>1</v>
      </c>
      <c r="R20">
        <f t="shared" si="1"/>
        <v>1</v>
      </c>
    </row>
    <row r="21" spans="1:18" hidden="1" x14ac:dyDescent="0.2">
      <c r="A21">
        <v>134</v>
      </c>
      <c r="B21" t="s">
        <v>1262</v>
      </c>
      <c r="C21" t="s">
        <v>1227</v>
      </c>
      <c r="D21" t="s">
        <v>1229</v>
      </c>
      <c r="E21">
        <v>444</v>
      </c>
      <c r="F21">
        <v>21.17</v>
      </c>
      <c r="G21">
        <v>357</v>
      </c>
      <c r="H21">
        <v>245</v>
      </c>
      <c r="I21">
        <v>19.296244897959198</v>
      </c>
      <c r="J21">
        <v>1.34981200908313</v>
      </c>
      <c r="K21">
        <v>328.93469387755101</v>
      </c>
      <c r="L21">
        <v>357</v>
      </c>
      <c r="M21" t="s">
        <v>1355</v>
      </c>
      <c r="O21" t="s">
        <v>1228</v>
      </c>
      <c r="P21">
        <v>1</v>
      </c>
      <c r="R21">
        <f t="shared" si="1"/>
        <v>1</v>
      </c>
    </row>
    <row r="22" spans="1:18" hidden="1" x14ac:dyDescent="0.2">
      <c r="A22">
        <v>135</v>
      </c>
      <c r="B22" t="s">
        <v>1263</v>
      </c>
      <c r="C22" t="s">
        <v>1227</v>
      </c>
      <c r="D22" t="s">
        <v>1229</v>
      </c>
      <c r="E22">
        <v>444</v>
      </c>
      <c r="F22">
        <v>21.17</v>
      </c>
      <c r="G22">
        <v>357</v>
      </c>
      <c r="H22">
        <v>245</v>
      </c>
      <c r="I22">
        <v>19.296244897959198</v>
      </c>
      <c r="J22">
        <v>1.34981200908313</v>
      </c>
      <c r="K22">
        <v>328.93469387755101</v>
      </c>
      <c r="L22">
        <v>357</v>
      </c>
      <c r="M22" t="s">
        <v>1355</v>
      </c>
      <c r="O22" t="s">
        <v>1228</v>
      </c>
      <c r="P22">
        <v>1</v>
      </c>
      <c r="R22">
        <f t="shared" si="1"/>
        <v>1</v>
      </c>
    </row>
    <row r="23" spans="1:18" hidden="1" x14ac:dyDescent="0.2">
      <c r="A23">
        <v>10</v>
      </c>
      <c r="B23" t="s">
        <v>1079</v>
      </c>
      <c r="C23" t="s">
        <v>1080</v>
      </c>
      <c r="D23" t="s">
        <v>1082</v>
      </c>
      <c r="E23">
        <v>336</v>
      </c>
      <c r="F23">
        <v>20.239999999999998</v>
      </c>
      <c r="G23">
        <v>361</v>
      </c>
      <c r="H23">
        <v>245</v>
      </c>
      <c r="I23">
        <v>19.971061224489802</v>
      </c>
      <c r="J23">
        <v>1.3494639520015701</v>
      </c>
      <c r="K23">
        <v>248.98775510204101</v>
      </c>
      <c r="L23">
        <v>361</v>
      </c>
      <c r="M23" t="s">
        <v>1355</v>
      </c>
      <c r="O23" t="s">
        <v>1081</v>
      </c>
      <c r="P23">
        <v>1</v>
      </c>
      <c r="R23">
        <f t="shared" si="1"/>
        <v>1</v>
      </c>
    </row>
    <row r="24" spans="1:18" hidden="1" x14ac:dyDescent="0.2">
      <c r="A24">
        <v>47</v>
      </c>
      <c r="B24" t="s">
        <v>1135</v>
      </c>
      <c r="C24" t="s">
        <v>1136</v>
      </c>
      <c r="D24" t="s">
        <v>1082</v>
      </c>
      <c r="E24">
        <v>411</v>
      </c>
      <c r="F24">
        <v>25.06</v>
      </c>
      <c r="G24">
        <v>361</v>
      </c>
      <c r="H24">
        <v>245</v>
      </c>
      <c r="I24">
        <v>19.971061224489802</v>
      </c>
      <c r="J24">
        <v>1.65068358414478</v>
      </c>
      <c r="K24">
        <v>248.98775510204101</v>
      </c>
      <c r="L24">
        <v>361</v>
      </c>
      <c r="M24" t="s">
        <v>1355</v>
      </c>
      <c r="O24" t="s">
        <v>1081</v>
      </c>
      <c r="P24">
        <v>1</v>
      </c>
      <c r="R24">
        <f t="shared" si="1"/>
        <v>1</v>
      </c>
    </row>
    <row r="25" spans="1:18" hidden="1" x14ac:dyDescent="0.2">
      <c r="A25">
        <v>51</v>
      </c>
      <c r="B25" t="s">
        <v>1140</v>
      </c>
      <c r="C25" t="s">
        <v>1136</v>
      </c>
      <c r="D25" t="s">
        <v>1082</v>
      </c>
      <c r="E25">
        <v>411</v>
      </c>
      <c r="F25">
        <v>25.06</v>
      </c>
      <c r="G25">
        <v>361</v>
      </c>
      <c r="H25">
        <v>245</v>
      </c>
      <c r="I25">
        <v>19.971061224489802</v>
      </c>
      <c r="J25">
        <v>1.65068358414478</v>
      </c>
      <c r="K25">
        <v>248.98775510204101</v>
      </c>
      <c r="L25">
        <v>361</v>
      </c>
      <c r="M25" t="s">
        <v>1355</v>
      </c>
      <c r="O25" t="s">
        <v>1081</v>
      </c>
      <c r="P25">
        <v>1</v>
      </c>
      <c r="R25">
        <f t="shared" si="1"/>
        <v>1</v>
      </c>
    </row>
    <row r="26" spans="1:18" hidden="1" x14ac:dyDescent="0.2">
      <c r="A26">
        <v>93</v>
      </c>
      <c r="B26" t="s">
        <v>1200</v>
      </c>
      <c r="C26" t="s">
        <v>1136</v>
      </c>
      <c r="D26" t="s">
        <v>1082</v>
      </c>
      <c r="E26">
        <v>345</v>
      </c>
      <c r="F26">
        <v>28.12</v>
      </c>
      <c r="G26">
        <v>361</v>
      </c>
      <c r="H26">
        <v>245</v>
      </c>
      <c r="I26">
        <v>19.971061224489802</v>
      </c>
      <c r="J26">
        <v>1.38561030785876</v>
      </c>
      <c r="K26">
        <v>248.98775510204101</v>
      </c>
      <c r="L26">
        <v>361</v>
      </c>
      <c r="M26" t="s">
        <v>1355</v>
      </c>
      <c r="O26" t="s">
        <v>1081</v>
      </c>
      <c r="P26">
        <v>1</v>
      </c>
      <c r="R26">
        <f t="shared" si="1"/>
        <v>1</v>
      </c>
    </row>
    <row r="27" spans="1:18" hidden="1" x14ac:dyDescent="0.2">
      <c r="A27">
        <v>95</v>
      </c>
      <c r="B27" t="s">
        <v>1202</v>
      </c>
      <c r="C27" t="s">
        <v>1136</v>
      </c>
      <c r="D27" t="s">
        <v>1082</v>
      </c>
      <c r="E27">
        <v>345</v>
      </c>
      <c r="F27">
        <v>28.12</v>
      </c>
      <c r="G27">
        <v>361</v>
      </c>
      <c r="H27">
        <v>245</v>
      </c>
      <c r="I27">
        <v>19.971061224489802</v>
      </c>
      <c r="J27">
        <v>1.38561030785876</v>
      </c>
      <c r="K27">
        <v>248.98775510204101</v>
      </c>
      <c r="L27">
        <v>361</v>
      </c>
      <c r="M27" t="s">
        <v>1355</v>
      </c>
      <c r="O27" t="s">
        <v>1081</v>
      </c>
      <c r="P27">
        <v>1</v>
      </c>
      <c r="R27">
        <f t="shared" si="1"/>
        <v>1</v>
      </c>
    </row>
    <row r="28" spans="1:18" hidden="1" x14ac:dyDescent="0.2">
      <c r="A28">
        <v>105</v>
      </c>
      <c r="B28" t="s">
        <v>1217</v>
      </c>
      <c r="C28" t="s">
        <v>1136</v>
      </c>
      <c r="D28" t="s">
        <v>1082</v>
      </c>
      <c r="E28">
        <v>327</v>
      </c>
      <c r="F28">
        <v>22.63</v>
      </c>
      <c r="G28">
        <v>361</v>
      </c>
      <c r="H28">
        <v>245</v>
      </c>
      <c r="I28">
        <v>19.971061224489802</v>
      </c>
      <c r="J28">
        <v>1.3133175961443899</v>
      </c>
      <c r="K28">
        <v>248.98775510204101</v>
      </c>
      <c r="L28">
        <v>361</v>
      </c>
      <c r="M28" t="s">
        <v>1355</v>
      </c>
      <c r="O28" t="s">
        <v>1081</v>
      </c>
      <c r="P28">
        <v>1</v>
      </c>
      <c r="R28">
        <f t="shared" si="1"/>
        <v>1</v>
      </c>
    </row>
    <row r="29" spans="1:18" hidden="1" x14ac:dyDescent="0.2">
      <c r="A29">
        <v>121</v>
      </c>
      <c r="B29" t="s">
        <v>1241</v>
      </c>
      <c r="C29" t="s">
        <v>1136</v>
      </c>
      <c r="D29" t="s">
        <v>1082</v>
      </c>
      <c r="E29">
        <v>345</v>
      </c>
      <c r="F29">
        <v>28.12</v>
      </c>
      <c r="G29">
        <v>361</v>
      </c>
      <c r="H29">
        <v>245</v>
      </c>
      <c r="I29">
        <v>19.971061224489802</v>
      </c>
      <c r="J29">
        <v>1.38561030785876</v>
      </c>
      <c r="K29">
        <v>248.98775510204101</v>
      </c>
      <c r="L29">
        <v>361</v>
      </c>
      <c r="M29" t="s">
        <v>1355</v>
      </c>
      <c r="O29" t="s">
        <v>1081</v>
      </c>
      <c r="P29">
        <v>1</v>
      </c>
      <c r="R29">
        <f t="shared" si="1"/>
        <v>1</v>
      </c>
    </row>
    <row r="30" spans="1:18" hidden="1" x14ac:dyDescent="0.2">
      <c r="A30">
        <v>122</v>
      </c>
      <c r="B30" t="s">
        <v>1242</v>
      </c>
      <c r="C30" t="s">
        <v>1136</v>
      </c>
      <c r="D30" t="s">
        <v>1082</v>
      </c>
      <c r="E30">
        <v>345</v>
      </c>
      <c r="F30">
        <v>28.12</v>
      </c>
      <c r="G30">
        <v>361</v>
      </c>
      <c r="H30">
        <v>245</v>
      </c>
      <c r="I30">
        <v>19.971061224489802</v>
      </c>
      <c r="J30">
        <v>1.38561030785876</v>
      </c>
      <c r="K30">
        <v>248.98775510204101</v>
      </c>
      <c r="L30">
        <v>361</v>
      </c>
      <c r="M30" t="s">
        <v>1355</v>
      </c>
      <c r="O30" t="s">
        <v>1081</v>
      </c>
      <c r="P30">
        <v>1</v>
      </c>
      <c r="R30">
        <f t="shared" si="1"/>
        <v>1</v>
      </c>
    </row>
    <row r="31" spans="1:18" hidden="1" x14ac:dyDescent="0.2">
      <c r="A31">
        <v>130</v>
      </c>
      <c r="B31" t="s">
        <v>1255</v>
      </c>
      <c r="C31" t="s">
        <v>1136</v>
      </c>
      <c r="D31" t="s">
        <v>1082</v>
      </c>
      <c r="E31">
        <v>345</v>
      </c>
      <c r="F31">
        <v>28.12</v>
      </c>
      <c r="G31">
        <v>361</v>
      </c>
      <c r="H31">
        <v>245</v>
      </c>
      <c r="I31">
        <v>19.971061224489802</v>
      </c>
      <c r="J31">
        <v>1.38561030785876</v>
      </c>
      <c r="K31">
        <v>248.98775510204101</v>
      </c>
      <c r="L31">
        <v>361</v>
      </c>
      <c r="M31" t="s">
        <v>1355</v>
      </c>
      <c r="O31" t="s">
        <v>1081</v>
      </c>
      <c r="P31">
        <v>1</v>
      </c>
      <c r="R31">
        <f t="shared" si="1"/>
        <v>1</v>
      </c>
    </row>
    <row r="32" spans="1:18" hidden="1" x14ac:dyDescent="0.2">
      <c r="A32">
        <v>133</v>
      </c>
      <c r="B32" t="s">
        <v>1261</v>
      </c>
      <c r="C32" t="s">
        <v>1136</v>
      </c>
      <c r="D32" t="s">
        <v>1082</v>
      </c>
      <c r="E32">
        <v>345</v>
      </c>
      <c r="F32">
        <v>28.12</v>
      </c>
      <c r="G32">
        <v>361</v>
      </c>
      <c r="H32">
        <v>245</v>
      </c>
      <c r="I32">
        <v>19.971061224489802</v>
      </c>
      <c r="J32">
        <v>1.38561030785876</v>
      </c>
      <c r="K32">
        <v>248.98775510204101</v>
      </c>
      <c r="L32">
        <v>361</v>
      </c>
      <c r="M32" t="s">
        <v>1355</v>
      </c>
      <c r="O32" t="s">
        <v>1081</v>
      </c>
      <c r="P32">
        <v>1</v>
      </c>
      <c r="R32">
        <f t="shared" si="1"/>
        <v>1</v>
      </c>
    </row>
    <row r="33" spans="1:18" hidden="1" x14ac:dyDescent="0.2">
      <c r="A33">
        <v>137</v>
      </c>
      <c r="B33" t="s">
        <v>1268</v>
      </c>
      <c r="C33" t="s">
        <v>1136</v>
      </c>
      <c r="D33" t="s">
        <v>1082</v>
      </c>
      <c r="E33">
        <v>345</v>
      </c>
      <c r="F33">
        <v>28.12</v>
      </c>
      <c r="G33">
        <v>361</v>
      </c>
      <c r="H33">
        <v>245</v>
      </c>
      <c r="I33">
        <v>19.971061224489802</v>
      </c>
      <c r="J33">
        <v>1.38561030785876</v>
      </c>
      <c r="K33">
        <v>248.98775510204101</v>
      </c>
      <c r="L33">
        <v>361</v>
      </c>
      <c r="M33" t="s">
        <v>1355</v>
      </c>
      <c r="O33" t="s">
        <v>1081</v>
      </c>
      <c r="P33">
        <v>1</v>
      </c>
      <c r="R33">
        <f t="shared" si="1"/>
        <v>1</v>
      </c>
    </row>
    <row r="34" spans="1:18" hidden="1" x14ac:dyDescent="0.2">
      <c r="A34">
        <v>138</v>
      </c>
      <c r="B34" t="s">
        <v>1269</v>
      </c>
      <c r="C34" t="s">
        <v>1136</v>
      </c>
      <c r="D34" t="s">
        <v>1082</v>
      </c>
      <c r="E34">
        <v>345</v>
      </c>
      <c r="F34">
        <v>28.12</v>
      </c>
      <c r="G34">
        <v>361</v>
      </c>
      <c r="H34">
        <v>245</v>
      </c>
      <c r="I34">
        <v>19.971061224489802</v>
      </c>
      <c r="J34">
        <v>1.38561030785876</v>
      </c>
      <c r="K34">
        <v>248.98775510204101</v>
      </c>
      <c r="L34">
        <v>361</v>
      </c>
      <c r="M34" t="s">
        <v>1355</v>
      </c>
      <c r="O34" t="s">
        <v>1081</v>
      </c>
      <c r="P34">
        <v>1</v>
      </c>
      <c r="R34">
        <f t="shared" si="1"/>
        <v>1</v>
      </c>
    </row>
    <row r="35" spans="1:18" hidden="1" x14ac:dyDescent="0.2">
      <c r="A35">
        <v>148</v>
      </c>
      <c r="B35" t="s">
        <v>1284</v>
      </c>
      <c r="C35" t="s">
        <v>1136</v>
      </c>
      <c r="D35" t="s">
        <v>1082</v>
      </c>
      <c r="E35">
        <v>345</v>
      </c>
      <c r="F35">
        <v>28.12</v>
      </c>
      <c r="G35">
        <v>361</v>
      </c>
      <c r="H35">
        <v>245</v>
      </c>
      <c r="I35">
        <v>19.971061224489802</v>
      </c>
      <c r="J35">
        <v>1.38561030785876</v>
      </c>
      <c r="K35">
        <v>248.98775510204101</v>
      </c>
      <c r="L35">
        <v>361</v>
      </c>
      <c r="M35" t="s">
        <v>1355</v>
      </c>
      <c r="O35" t="s">
        <v>1081</v>
      </c>
      <c r="P35">
        <v>1</v>
      </c>
      <c r="R35">
        <f t="shared" si="1"/>
        <v>1</v>
      </c>
    </row>
    <row r="36" spans="1:18" hidden="1" x14ac:dyDescent="0.2">
      <c r="A36">
        <v>194</v>
      </c>
      <c r="B36" t="s">
        <v>1344</v>
      </c>
      <c r="C36" t="s">
        <v>1136</v>
      </c>
      <c r="D36" t="s">
        <v>1082</v>
      </c>
      <c r="E36">
        <v>366</v>
      </c>
      <c r="F36">
        <v>26.78</v>
      </c>
      <c r="G36">
        <v>361</v>
      </c>
      <c r="H36">
        <v>245</v>
      </c>
      <c r="I36">
        <v>19.971061224489802</v>
      </c>
      <c r="J36">
        <v>1.46995180485886</v>
      </c>
      <c r="K36">
        <v>248.98775510204101</v>
      </c>
      <c r="L36">
        <v>361</v>
      </c>
      <c r="M36" t="s">
        <v>1355</v>
      </c>
      <c r="O36" t="s">
        <v>1081</v>
      </c>
      <c r="P36">
        <v>1</v>
      </c>
      <c r="R36">
        <f t="shared" si="1"/>
        <v>1</v>
      </c>
    </row>
    <row r="37" spans="1:18" x14ac:dyDescent="0.2">
      <c r="A37">
        <v>72</v>
      </c>
      <c r="B37" t="s">
        <v>1165</v>
      </c>
      <c r="C37" t="s">
        <v>1166</v>
      </c>
      <c r="D37" t="s">
        <v>1168</v>
      </c>
      <c r="E37">
        <v>1686</v>
      </c>
      <c r="F37">
        <v>18.09</v>
      </c>
      <c r="G37">
        <v>366</v>
      </c>
      <c r="H37">
        <v>245</v>
      </c>
      <c r="I37">
        <v>25.2024897959184</v>
      </c>
      <c r="J37">
        <v>2.2920446789739199</v>
      </c>
      <c r="K37">
        <v>735.587755102041</v>
      </c>
      <c r="L37">
        <v>366</v>
      </c>
      <c r="M37" t="s">
        <v>1348</v>
      </c>
      <c r="O37" t="s">
        <v>1167</v>
      </c>
      <c r="R37">
        <f t="shared" si="1"/>
        <v>0</v>
      </c>
    </row>
    <row r="38" spans="1:18" x14ac:dyDescent="0.2">
      <c r="A38">
        <v>91</v>
      </c>
      <c r="B38" t="s">
        <v>1198</v>
      </c>
      <c r="C38" t="s">
        <v>1166</v>
      </c>
      <c r="D38" t="s">
        <v>1168</v>
      </c>
      <c r="E38">
        <v>1188</v>
      </c>
      <c r="F38">
        <v>19.36</v>
      </c>
      <c r="G38">
        <v>366</v>
      </c>
      <c r="H38">
        <v>245</v>
      </c>
      <c r="I38">
        <v>25.2024897959184</v>
      </c>
      <c r="J38">
        <v>1.6150350407004801</v>
      </c>
      <c r="K38">
        <v>735.587755102041</v>
      </c>
      <c r="L38">
        <v>366</v>
      </c>
      <c r="M38" t="s">
        <v>1348</v>
      </c>
      <c r="O38" t="s">
        <v>1167</v>
      </c>
      <c r="R38">
        <f t="shared" si="1"/>
        <v>0</v>
      </c>
    </row>
    <row r="39" spans="1:18" x14ac:dyDescent="0.2">
      <c r="A39">
        <v>107</v>
      </c>
      <c r="B39" t="s">
        <v>1219</v>
      </c>
      <c r="C39" t="s">
        <v>1166</v>
      </c>
      <c r="D39" t="s">
        <v>1168</v>
      </c>
      <c r="E39">
        <v>1296</v>
      </c>
      <c r="F39">
        <v>21.68</v>
      </c>
      <c r="G39">
        <v>366</v>
      </c>
      <c r="H39">
        <v>245</v>
      </c>
      <c r="I39">
        <v>25.2024897959184</v>
      </c>
      <c r="J39">
        <v>1.7618564080368899</v>
      </c>
      <c r="K39">
        <v>735.587755102041</v>
      </c>
      <c r="L39">
        <v>366</v>
      </c>
      <c r="M39" t="s">
        <v>1348</v>
      </c>
      <c r="O39" t="s">
        <v>1167</v>
      </c>
      <c r="R39">
        <f t="shared" si="1"/>
        <v>0</v>
      </c>
    </row>
    <row r="40" spans="1:18" x14ac:dyDescent="0.2">
      <c r="A40">
        <v>115</v>
      </c>
      <c r="B40" t="s">
        <v>1232</v>
      </c>
      <c r="C40" t="s">
        <v>1166</v>
      </c>
      <c r="D40" t="s">
        <v>1168</v>
      </c>
      <c r="E40">
        <v>1149</v>
      </c>
      <c r="F40">
        <v>17.059999999999999</v>
      </c>
      <c r="G40">
        <v>366</v>
      </c>
      <c r="H40">
        <v>245</v>
      </c>
      <c r="I40">
        <v>25.2024897959184</v>
      </c>
      <c r="J40">
        <v>1.5620162136067799</v>
      </c>
      <c r="K40">
        <v>735.587755102041</v>
      </c>
      <c r="L40">
        <v>366</v>
      </c>
      <c r="M40" t="s">
        <v>1348</v>
      </c>
      <c r="O40" t="s">
        <v>1167</v>
      </c>
      <c r="R40">
        <f t="shared" si="1"/>
        <v>0</v>
      </c>
    </row>
    <row r="41" spans="1:18" x14ac:dyDescent="0.2">
      <c r="A41">
        <v>13</v>
      </c>
      <c r="B41" t="s">
        <v>1088</v>
      </c>
      <c r="C41" t="s">
        <v>1089</v>
      </c>
      <c r="D41" t="s">
        <v>1090</v>
      </c>
      <c r="E41">
        <v>546</v>
      </c>
      <c r="F41">
        <v>18.86</v>
      </c>
      <c r="G41">
        <v>388</v>
      </c>
      <c r="H41">
        <v>244</v>
      </c>
      <c r="I41">
        <v>24.363155737704901</v>
      </c>
      <c r="J41">
        <v>1.3552659688100801</v>
      </c>
      <c r="K41">
        <v>402.87295081967198</v>
      </c>
      <c r="L41">
        <v>388</v>
      </c>
      <c r="M41" t="s">
        <v>1348</v>
      </c>
      <c r="O41" t="s">
        <v>431</v>
      </c>
      <c r="R41">
        <f t="shared" si="1"/>
        <v>0</v>
      </c>
    </row>
    <row r="42" spans="1:18" x14ac:dyDescent="0.2">
      <c r="A42">
        <v>38</v>
      </c>
      <c r="B42" t="s">
        <v>1124</v>
      </c>
      <c r="C42" t="s">
        <v>1089</v>
      </c>
      <c r="D42" t="s">
        <v>1090</v>
      </c>
      <c r="E42">
        <v>543</v>
      </c>
      <c r="F42">
        <v>23.2</v>
      </c>
      <c r="G42">
        <v>388</v>
      </c>
      <c r="H42">
        <v>244</v>
      </c>
      <c r="I42">
        <v>24.363155737704901</v>
      </c>
      <c r="J42">
        <v>1.3478194524979401</v>
      </c>
      <c r="K42">
        <v>402.87295081967198</v>
      </c>
      <c r="L42">
        <v>388</v>
      </c>
      <c r="M42" t="s">
        <v>1348</v>
      </c>
      <c r="O42" t="s">
        <v>431</v>
      </c>
      <c r="R42">
        <f t="shared" si="1"/>
        <v>0</v>
      </c>
    </row>
    <row r="43" spans="1:18" x14ac:dyDescent="0.2">
      <c r="A43">
        <v>92</v>
      </c>
      <c r="B43" t="s">
        <v>1199</v>
      </c>
      <c r="C43" t="s">
        <v>1089</v>
      </c>
      <c r="D43" t="s">
        <v>1090</v>
      </c>
      <c r="E43">
        <v>531</v>
      </c>
      <c r="F43">
        <v>21.66</v>
      </c>
      <c r="G43">
        <v>388</v>
      </c>
      <c r="H43">
        <v>244</v>
      </c>
      <c r="I43">
        <v>24.363155737704901</v>
      </c>
      <c r="J43">
        <v>1.3180333872493699</v>
      </c>
      <c r="K43">
        <v>402.87295081967198</v>
      </c>
      <c r="L43">
        <v>388</v>
      </c>
      <c r="M43" t="s">
        <v>1348</v>
      </c>
      <c r="O43" t="s">
        <v>431</v>
      </c>
      <c r="R43">
        <f t="shared" ref="R43:R74" si="2">P43+Q43</f>
        <v>0</v>
      </c>
    </row>
    <row r="44" spans="1:18" x14ac:dyDescent="0.2">
      <c r="A44">
        <v>116</v>
      </c>
      <c r="B44" t="s">
        <v>1233</v>
      </c>
      <c r="C44" t="s">
        <v>1089</v>
      </c>
      <c r="D44" t="s">
        <v>1090</v>
      </c>
      <c r="E44">
        <v>597</v>
      </c>
      <c r="F44">
        <v>16.079999999999998</v>
      </c>
      <c r="G44">
        <v>388</v>
      </c>
      <c r="H44">
        <v>244</v>
      </c>
      <c r="I44">
        <v>24.363155737704901</v>
      </c>
      <c r="J44">
        <v>1.48185674611652</v>
      </c>
      <c r="K44">
        <v>402.87295081967198</v>
      </c>
      <c r="L44">
        <v>388</v>
      </c>
      <c r="M44" t="s">
        <v>1348</v>
      </c>
      <c r="O44" t="s">
        <v>431</v>
      </c>
      <c r="R44">
        <f t="shared" si="2"/>
        <v>0</v>
      </c>
    </row>
    <row r="45" spans="1:18" hidden="1" x14ac:dyDescent="0.2">
      <c r="A45">
        <v>14</v>
      </c>
      <c r="B45" t="s">
        <v>1091</v>
      </c>
      <c r="C45" t="s">
        <v>1092</v>
      </c>
      <c r="D45" t="s">
        <v>1094</v>
      </c>
      <c r="E45">
        <v>2139</v>
      </c>
      <c r="F45">
        <v>22.53</v>
      </c>
      <c r="G45">
        <v>403</v>
      </c>
      <c r="H45">
        <v>244</v>
      </c>
      <c r="I45">
        <v>28.6913524590164</v>
      </c>
      <c r="J45">
        <v>1.34011200209522</v>
      </c>
      <c r="K45">
        <v>1596.13524590164</v>
      </c>
      <c r="L45">
        <v>403</v>
      </c>
      <c r="M45" t="s">
        <v>1357</v>
      </c>
      <c r="N45" t="s">
        <v>1377</v>
      </c>
      <c r="O45" t="s">
        <v>1093</v>
      </c>
      <c r="Q45">
        <v>1</v>
      </c>
      <c r="R45">
        <f t="shared" si="2"/>
        <v>1</v>
      </c>
    </row>
    <row r="46" spans="1:18" hidden="1" x14ac:dyDescent="0.2">
      <c r="A46">
        <v>19</v>
      </c>
      <c r="B46" t="s">
        <v>1099</v>
      </c>
      <c r="C46" t="s">
        <v>1092</v>
      </c>
      <c r="D46" t="s">
        <v>1094</v>
      </c>
      <c r="E46">
        <v>2280</v>
      </c>
      <c r="F46">
        <v>26.89</v>
      </c>
      <c r="G46">
        <v>403</v>
      </c>
      <c r="H46">
        <v>244</v>
      </c>
      <c r="I46">
        <v>28.6913524590164</v>
      </c>
      <c r="J46">
        <v>1.42845038091497</v>
      </c>
      <c r="K46">
        <v>1596.13524590164</v>
      </c>
      <c r="L46">
        <v>403</v>
      </c>
      <c r="M46" t="s">
        <v>1357</v>
      </c>
      <c r="N46" t="s">
        <v>1377</v>
      </c>
      <c r="O46" t="s">
        <v>1093</v>
      </c>
      <c r="Q46">
        <v>1</v>
      </c>
      <c r="R46">
        <f t="shared" si="2"/>
        <v>1</v>
      </c>
    </row>
    <row r="47" spans="1:18" hidden="1" x14ac:dyDescent="0.2">
      <c r="A47">
        <v>53</v>
      </c>
      <c r="B47" t="s">
        <v>1142</v>
      </c>
      <c r="C47" t="s">
        <v>1092</v>
      </c>
      <c r="D47" t="s">
        <v>1094</v>
      </c>
      <c r="E47">
        <v>2238</v>
      </c>
      <c r="F47">
        <v>21.31</v>
      </c>
      <c r="G47">
        <v>403</v>
      </c>
      <c r="H47">
        <v>244</v>
      </c>
      <c r="I47">
        <v>28.6913524590164</v>
      </c>
      <c r="J47">
        <v>1.4021368212665299</v>
      </c>
      <c r="K47">
        <v>1596.13524590164</v>
      </c>
      <c r="L47">
        <v>403</v>
      </c>
      <c r="M47" t="s">
        <v>1357</v>
      </c>
      <c r="N47" t="s">
        <v>1377</v>
      </c>
      <c r="O47" t="s">
        <v>1093</v>
      </c>
      <c r="Q47">
        <v>1</v>
      </c>
      <c r="R47">
        <f t="shared" si="2"/>
        <v>1</v>
      </c>
    </row>
    <row r="48" spans="1:18" hidden="1" x14ac:dyDescent="0.2">
      <c r="A48">
        <v>62</v>
      </c>
      <c r="B48" t="s">
        <v>1151</v>
      </c>
      <c r="C48" t="s">
        <v>1092</v>
      </c>
      <c r="D48" t="s">
        <v>1094</v>
      </c>
      <c r="E48">
        <v>2370</v>
      </c>
      <c r="F48">
        <v>27.51</v>
      </c>
      <c r="G48">
        <v>403</v>
      </c>
      <c r="H48">
        <v>244</v>
      </c>
      <c r="I48">
        <v>28.6913524590164</v>
      </c>
      <c r="J48">
        <v>1.4848365801616099</v>
      </c>
      <c r="K48">
        <v>1596.13524590164</v>
      </c>
      <c r="L48">
        <v>403</v>
      </c>
      <c r="M48" t="s">
        <v>1357</v>
      </c>
      <c r="N48" t="s">
        <v>1377</v>
      </c>
      <c r="O48" t="s">
        <v>1093</v>
      </c>
      <c r="Q48">
        <v>1</v>
      </c>
      <c r="R48">
        <f t="shared" si="2"/>
        <v>1</v>
      </c>
    </row>
    <row r="49" spans="1:18" hidden="1" x14ac:dyDescent="0.2">
      <c r="A49">
        <v>76</v>
      </c>
      <c r="B49" t="s">
        <v>1172</v>
      </c>
      <c r="C49" t="s">
        <v>1092</v>
      </c>
      <c r="D49" t="s">
        <v>1094</v>
      </c>
      <c r="E49">
        <v>2247</v>
      </c>
      <c r="F49">
        <v>23.19</v>
      </c>
      <c r="G49">
        <v>403</v>
      </c>
      <c r="H49">
        <v>244</v>
      </c>
      <c r="I49">
        <v>28.6913524590164</v>
      </c>
      <c r="J49">
        <v>1.4077754411912</v>
      </c>
      <c r="K49">
        <v>1596.13524590164</v>
      </c>
      <c r="L49">
        <v>403</v>
      </c>
      <c r="M49" t="s">
        <v>1357</v>
      </c>
      <c r="N49" t="s">
        <v>1377</v>
      </c>
      <c r="O49" t="s">
        <v>1093</v>
      </c>
      <c r="Q49">
        <v>1</v>
      </c>
      <c r="R49">
        <f t="shared" si="2"/>
        <v>1</v>
      </c>
    </row>
    <row r="50" spans="1:18" hidden="1" x14ac:dyDescent="0.2">
      <c r="A50">
        <v>124</v>
      </c>
      <c r="B50" t="s">
        <v>1244</v>
      </c>
      <c r="C50" t="s">
        <v>1092</v>
      </c>
      <c r="D50" t="s">
        <v>1094</v>
      </c>
      <c r="E50">
        <v>2370</v>
      </c>
      <c r="F50">
        <v>23.33</v>
      </c>
      <c r="G50">
        <v>403</v>
      </c>
      <c r="H50">
        <v>244</v>
      </c>
      <c r="I50">
        <v>28.6913524590164</v>
      </c>
      <c r="J50">
        <v>1.4848365801616099</v>
      </c>
      <c r="K50">
        <v>1596.13524590164</v>
      </c>
      <c r="L50">
        <v>403</v>
      </c>
      <c r="M50" t="s">
        <v>1357</v>
      </c>
      <c r="N50" t="s">
        <v>1377</v>
      </c>
      <c r="O50" t="s">
        <v>1093</v>
      </c>
      <c r="Q50">
        <v>1</v>
      </c>
      <c r="R50">
        <f t="shared" si="2"/>
        <v>1</v>
      </c>
    </row>
    <row r="51" spans="1:18" hidden="1" x14ac:dyDescent="0.2">
      <c r="A51">
        <v>139</v>
      </c>
      <c r="B51" t="s">
        <v>1270</v>
      </c>
      <c r="C51" t="s">
        <v>1092</v>
      </c>
      <c r="D51" t="s">
        <v>1094</v>
      </c>
      <c r="E51">
        <v>2139</v>
      </c>
      <c r="F51">
        <v>24.26</v>
      </c>
      <c r="G51">
        <v>403</v>
      </c>
      <c r="H51">
        <v>244</v>
      </c>
      <c r="I51">
        <v>28.6913524590164</v>
      </c>
      <c r="J51">
        <v>1.34011200209522</v>
      </c>
      <c r="K51">
        <v>1596.13524590164</v>
      </c>
      <c r="L51">
        <v>403</v>
      </c>
      <c r="M51" t="s">
        <v>1357</v>
      </c>
      <c r="N51" t="s">
        <v>1377</v>
      </c>
      <c r="O51" t="s">
        <v>1093</v>
      </c>
      <c r="Q51">
        <v>1</v>
      </c>
      <c r="R51">
        <f t="shared" si="2"/>
        <v>1</v>
      </c>
    </row>
    <row r="52" spans="1:18" hidden="1" x14ac:dyDescent="0.2">
      <c r="A52">
        <v>170</v>
      </c>
      <c r="B52" t="s">
        <v>1309</v>
      </c>
      <c r="C52" t="s">
        <v>1310</v>
      </c>
      <c r="D52" t="s">
        <v>1312</v>
      </c>
      <c r="E52">
        <v>363</v>
      </c>
      <c r="F52">
        <v>19.559999999999999</v>
      </c>
      <c r="G52">
        <v>433</v>
      </c>
      <c r="H52">
        <v>242</v>
      </c>
      <c r="I52">
        <v>23.336694214876001</v>
      </c>
      <c r="J52">
        <v>1.5253425014325199</v>
      </c>
      <c r="K52">
        <v>237.97933884297501</v>
      </c>
      <c r="L52">
        <v>433</v>
      </c>
      <c r="M52" t="s">
        <v>1355</v>
      </c>
      <c r="O52" t="s">
        <v>1311</v>
      </c>
      <c r="P52">
        <v>1</v>
      </c>
      <c r="R52">
        <f t="shared" si="2"/>
        <v>1</v>
      </c>
    </row>
    <row r="53" spans="1:18" hidden="1" x14ac:dyDescent="0.2">
      <c r="A53">
        <v>183</v>
      </c>
      <c r="B53" t="s">
        <v>1327</v>
      </c>
      <c r="C53" t="s">
        <v>1310</v>
      </c>
      <c r="D53" t="s">
        <v>1312</v>
      </c>
      <c r="E53">
        <v>315</v>
      </c>
      <c r="F53">
        <v>23.81</v>
      </c>
      <c r="G53">
        <v>433</v>
      </c>
      <c r="H53">
        <v>242</v>
      </c>
      <c r="I53">
        <v>23.336694214876001</v>
      </c>
      <c r="J53">
        <v>1.3236443194249099</v>
      </c>
      <c r="K53">
        <v>237.97933884297501</v>
      </c>
      <c r="L53">
        <v>433</v>
      </c>
      <c r="M53" t="s">
        <v>1355</v>
      </c>
      <c r="O53" t="s">
        <v>1311</v>
      </c>
      <c r="P53">
        <v>1</v>
      </c>
      <c r="R53">
        <f t="shared" si="2"/>
        <v>1</v>
      </c>
    </row>
    <row r="54" spans="1:18" hidden="1" x14ac:dyDescent="0.2">
      <c r="A54">
        <v>146</v>
      </c>
      <c r="B54" t="s">
        <v>1279</v>
      </c>
      <c r="C54" t="s">
        <v>1280</v>
      </c>
      <c r="D54" t="s">
        <v>1282</v>
      </c>
      <c r="E54">
        <v>315</v>
      </c>
      <c r="F54">
        <v>22.86</v>
      </c>
      <c r="G54">
        <v>465</v>
      </c>
      <c r="H54">
        <v>236</v>
      </c>
      <c r="I54">
        <v>23.238389830508499</v>
      </c>
      <c r="J54">
        <v>1.39881456392887</v>
      </c>
      <c r="K54">
        <v>225.19067796610199</v>
      </c>
      <c r="L54">
        <v>465</v>
      </c>
      <c r="M54" t="s">
        <v>1355</v>
      </c>
      <c r="O54" t="s">
        <v>1281</v>
      </c>
      <c r="P54">
        <v>1</v>
      </c>
      <c r="R54">
        <f t="shared" si="2"/>
        <v>1</v>
      </c>
    </row>
    <row r="55" spans="1:18" x14ac:dyDescent="0.2">
      <c r="A55">
        <v>142</v>
      </c>
      <c r="B55" t="s">
        <v>1273</v>
      </c>
      <c r="C55" t="s">
        <v>1274</v>
      </c>
      <c r="D55" t="s">
        <v>1275</v>
      </c>
      <c r="E55">
        <v>873</v>
      </c>
      <c r="F55">
        <v>26.46</v>
      </c>
      <c r="G55">
        <v>468</v>
      </c>
      <c r="H55">
        <v>236</v>
      </c>
      <c r="I55">
        <v>23.0267372881356</v>
      </c>
      <c r="J55">
        <v>1.4484635015713001</v>
      </c>
      <c r="K55">
        <v>602.70762711864404</v>
      </c>
      <c r="L55">
        <v>468</v>
      </c>
      <c r="M55" t="s">
        <v>1348</v>
      </c>
      <c r="O55" t="s">
        <v>1275</v>
      </c>
      <c r="R55">
        <f t="shared" si="2"/>
        <v>0</v>
      </c>
    </row>
    <row r="56" spans="1:18" x14ac:dyDescent="0.2">
      <c r="A56">
        <v>117</v>
      </c>
      <c r="B56" t="s">
        <v>1234</v>
      </c>
      <c r="C56" t="s">
        <v>1235</v>
      </c>
      <c r="D56" t="s">
        <v>1237</v>
      </c>
      <c r="E56">
        <v>4062</v>
      </c>
      <c r="F56">
        <v>15.41</v>
      </c>
      <c r="G56">
        <v>484</v>
      </c>
      <c r="H56">
        <v>234</v>
      </c>
      <c r="I56">
        <v>21.685683760683801</v>
      </c>
      <c r="J56">
        <v>1.5930613168413901</v>
      </c>
      <c r="K56">
        <v>2549.8076923076901</v>
      </c>
      <c r="L56">
        <v>484</v>
      </c>
      <c r="M56" t="s">
        <v>1348</v>
      </c>
      <c r="O56" t="s">
        <v>1236</v>
      </c>
      <c r="R56">
        <f t="shared" si="2"/>
        <v>0</v>
      </c>
    </row>
    <row r="57" spans="1:18" x14ac:dyDescent="0.2">
      <c r="A57">
        <v>126</v>
      </c>
      <c r="B57" t="s">
        <v>1249</v>
      </c>
      <c r="C57" t="s">
        <v>1235</v>
      </c>
      <c r="D57" t="s">
        <v>1237</v>
      </c>
      <c r="E57">
        <v>3381</v>
      </c>
      <c r="F57">
        <v>19.670000000000002</v>
      </c>
      <c r="G57">
        <v>484</v>
      </c>
      <c r="H57">
        <v>234</v>
      </c>
      <c r="I57">
        <v>21.685683760683801</v>
      </c>
      <c r="J57">
        <v>1.32598235161023</v>
      </c>
      <c r="K57">
        <v>2549.8076923076901</v>
      </c>
      <c r="L57">
        <v>484</v>
      </c>
      <c r="M57" t="s">
        <v>1348</v>
      </c>
      <c r="O57" t="s">
        <v>1236</v>
      </c>
      <c r="R57">
        <f t="shared" si="2"/>
        <v>0</v>
      </c>
    </row>
    <row r="58" spans="1:18" hidden="1" x14ac:dyDescent="0.2">
      <c r="A58">
        <v>193</v>
      </c>
      <c r="B58" t="s">
        <v>1340</v>
      </c>
      <c r="C58" t="s">
        <v>1341</v>
      </c>
      <c r="D58" t="s">
        <v>1343</v>
      </c>
      <c r="E58">
        <v>303</v>
      </c>
      <c r="F58">
        <v>18.809999999999999</v>
      </c>
      <c r="G58">
        <v>522</v>
      </c>
      <c r="H58">
        <v>218</v>
      </c>
      <c r="I58">
        <v>19.6455963302752</v>
      </c>
      <c r="J58">
        <v>1.5903214156735299</v>
      </c>
      <c r="K58">
        <v>190.52752293578001</v>
      </c>
      <c r="L58">
        <v>522</v>
      </c>
      <c r="M58" t="s">
        <v>1355</v>
      </c>
      <c r="O58" t="s">
        <v>1342</v>
      </c>
      <c r="P58">
        <v>1</v>
      </c>
      <c r="R58">
        <f t="shared" si="2"/>
        <v>1</v>
      </c>
    </row>
    <row r="59" spans="1:18" hidden="1" x14ac:dyDescent="0.2">
      <c r="A59">
        <v>89</v>
      </c>
      <c r="B59" t="s">
        <v>1191</v>
      </c>
      <c r="C59" t="s">
        <v>1192</v>
      </c>
      <c r="D59" t="s">
        <v>1193</v>
      </c>
      <c r="E59">
        <v>402</v>
      </c>
      <c r="F59">
        <v>17.66</v>
      </c>
      <c r="G59">
        <v>525</v>
      </c>
      <c r="H59">
        <v>217</v>
      </c>
      <c r="I59">
        <v>20.384331797234999</v>
      </c>
      <c r="J59">
        <v>1.4473867595818799</v>
      </c>
      <c r="K59">
        <v>277.74193548387098</v>
      </c>
      <c r="L59">
        <v>525</v>
      </c>
      <c r="M59" t="s">
        <v>1355</v>
      </c>
      <c r="O59" t="s">
        <v>1193</v>
      </c>
      <c r="P59">
        <v>1</v>
      </c>
      <c r="R59">
        <f t="shared" si="2"/>
        <v>1</v>
      </c>
    </row>
    <row r="60" spans="1:18" hidden="1" x14ac:dyDescent="0.2">
      <c r="A60">
        <v>109</v>
      </c>
      <c r="B60" t="s">
        <v>1221</v>
      </c>
      <c r="C60" t="s">
        <v>1192</v>
      </c>
      <c r="D60" t="s">
        <v>1193</v>
      </c>
      <c r="E60">
        <v>375</v>
      </c>
      <c r="F60">
        <v>15.2</v>
      </c>
      <c r="G60">
        <v>525</v>
      </c>
      <c r="H60">
        <v>217</v>
      </c>
      <c r="I60">
        <v>20.384331797234999</v>
      </c>
      <c r="J60">
        <v>1.35017421602787</v>
      </c>
      <c r="K60">
        <v>277.74193548387098</v>
      </c>
      <c r="L60">
        <v>525</v>
      </c>
      <c r="M60" t="s">
        <v>1355</v>
      </c>
      <c r="O60" t="s">
        <v>1193</v>
      </c>
      <c r="P60">
        <v>1</v>
      </c>
      <c r="R60">
        <f t="shared" si="2"/>
        <v>1</v>
      </c>
    </row>
    <row r="61" spans="1:18" hidden="1" x14ac:dyDescent="0.2">
      <c r="A61">
        <v>119</v>
      </c>
      <c r="B61" t="s">
        <v>1239</v>
      </c>
      <c r="C61" t="s">
        <v>1192</v>
      </c>
      <c r="D61" t="s">
        <v>1193</v>
      </c>
      <c r="E61">
        <v>381</v>
      </c>
      <c r="F61">
        <v>10.5</v>
      </c>
      <c r="G61">
        <v>525</v>
      </c>
      <c r="H61">
        <v>217</v>
      </c>
      <c r="I61">
        <v>20.384331797234999</v>
      </c>
      <c r="J61">
        <v>1.37177700348432</v>
      </c>
      <c r="K61">
        <v>277.74193548387098</v>
      </c>
      <c r="L61">
        <v>525</v>
      </c>
      <c r="M61" t="s">
        <v>1355</v>
      </c>
      <c r="O61" t="s">
        <v>1193</v>
      </c>
      <c r="P61">
        <v>1</v>
      </c>
      <c r="R61">
        <f t="shared" si="2"/>
        <v>1</v>
      </c>
    </row>
    <row r="62" spans="1:18" hidden="1" x14ac:dyDescent="0.2">
      <c r="A62">
        <v>127</v>
      </c>
      <c r="B62" t="s">
        <v>1250</v>
      </c>
      <c r="C62" t="s">
        <v>1192</v>
      </c>
      <c r="D62" t="s">
        <v>1193</v>
      </c>
      <c r="E62">
        <v>369</v>
      </c>
      <c r="F62">
        <v>13.28</v>
      </c>
      <c r="G62">
        <v>525</v>
      </c>
      <c r="H62">
        <v>217</v>
      </c>
      <c r="I62">
        <v>20.384331797234999</v>
      </c>
      <c r="J62">
        <v>1.3285714285714301</v>
      </c>
      <c r="K62">
        <v>277.74193548387098</v>
      </c>
      <c r="L62">
        <v>525</v>
      </c>
      <c r="M62" t="s">
        <v>1355</v>
      </c>
      <c r="O62" t="s">
        <v>1193</v>
      </c>
      <c r="P62">
        <v>1</v>
      </c>
      <c r="R62">
        <f t="shared" si="2"/>
        <v>1</v>
      </c>
    </row>
    <row r="63" spans="1:18" hidden="1" x14ac:dyDescent="0.2">
      <c r="A63">
        <v>155</v>
      </c>
      <c r="B63" t="s">
        <v>1293</v>
      </c>
      <c r="C63" t="s">
        <v>1192</v>
      </c>
      <c r="D63" t="s">
        <v>1193</v>
      </c>
      <c r="E63">
        <v>366</v>
      </c>
      <c r="F63">
        <v>21.04</v>
      </c>
      <c r="G63">
        <v>525</v>
      </c>
      <c r="H63">
        <v>217</v>
      </c>
      <c r="I63">
        <v>20.384331797234999</v>
      </c>
      <c r="J63">
        <v>1.31777003484321</v>
      </c>
      <c r="K63">
        <v>277.74193548387098</v>
      </c>
      <c r="L63">
        <v>525</v>
      </c>
      <c r="M63" t="s">
        <v>1355</v>
      </c>
      <c r="O63" t="s">
        <v>1193</v>
      </c>
      <c r="P63">
        <v>1</v>
      </c>
      <c r="R63">
        <f t="shared" si="2"/>
        <v>1</v>
      </c>
    </row>
    <row r="64" spans="1:18" x14ac:dyDescent="0.2">
      <c r="A64">
        <v>99</v>
      </c>
      <c r="B64" t="s">
        <v>1206</v>
      </c>
      <c r="C64" t="s">
        <v>1207</v>
      </c>
      <c r="D64" t="s">
        <v>1209</v>
      </c>
      <c r="E64">
        <v>1503</v>
      </c>
      <c r="F64">
        <v>21.29</v>
      </c>
      <c r="G64">
        <v>529</v>
      </c>
      <c r="H64">
        <v>215</v>
      </c>
      <c r="I64">
        <v>23.3808372093023</v>
      </c>
      <c r="J64">
        <v>1.40519209444916</v>
      </c>
      <c r="K64">
        <v>1069.6046511627901</v>
      </c>
      <c r="L64">
        <v>529</v>
      </c>
      <c r="M64" t="s">
        <v>1348</v>
      </c>
      <c r="O64" t="s">
        <v>1208</v>
      </c>
      <c r="R64">
        <f t="shared" si="2"/>
        <v>0</v>
      </c>
    </row>
    <row r="65" spans="1:18" x14ac:dyDescent="0.2">
      <c r="A65">
        <v>25</v>
      </c>
      <c r="B65" t="s">
        <v>1107</v>
      </c>
      <c r="C65" t="s">
        <v>431</v>
      </c>
      <c r="D65" t="s">
        <v>431</v>
      </c>
      <c r="E65">
        <v>825</v>
      </c>
      <c r="F65">
        <v>23.88</v>
      </c>
      <c r="G65">
        <v>559</v>
      </c>
      <c r="H65">
        <v>196</v>
      </c>
      <c r="I65">
        <v>26.407499999999999</v>
      </c>
      <c r="J65">
        <v>1.3546117114853</v>
      </c>
      <c r="K65">
        <v>609.03061224489795</v>
      </c>
      <c r="L65">
        <v>559</v>
      </c>
      <c r="M65" t="s">
        <v>1348</v>
      </c>
      <c r="O65" t="s">
        <v>431</v>
      </c>
      <c r="R65">
        <f t="shared" si="2"/>
        <v>0</v>
      </c>
    </row>
    <row r="66" spans="1:18" x14ac:dyDescent="0.2">
      <c r="A66">
        <v>39</v>
      </c>
      <c r="B66" t="s">
        <v>1125</v>
      </c>
      <c r="C66" t="s">
        <v>431</v>
      </c>
      <c r="D66" t="s">
        <v>431</v>
      </c>
      <c r="E66">
        <v>987</v>
      </c>
      <c r="F66">
        <v>24.01</v>
      </c>
      <c r="G66">
        <v>559</v>
      </c>
      <c r="H66">
        <v>196</v>
      </c>
      <c r="I66">
        <v>26.407499999999999</v>
      </c>
      <c r="J66">
        <v>1.62060819301332</v>
      </c>
      <c r="K66">
        <v>609.03061224489795</v>
      </c>
      <c r="L66">
        <v>559</v>
      </c>
      <c r="M66" t="s">
        <v>1348</v>
      </c>
      <c r="O66" t="s">
        <v>431</v>
      </c>
      <c r="R66">
        <f t="shared" si="2"/>
        <v>0</v>
      </c>
    </row>
    <row r="67" spans="1:18" x14ac:dyDescent="0.2">
      <c r="A67">
        <v>144</v>
      </c>
      <c r="B67" t="s">
        <v>1277</v>
      </c>
      <c r="C67" t="s">
        <v>431</v>
      </c>
      <c r="D67" t="s">
        <v>431</v>
      </c>
      <c r="E67">
        <v>930</v>
      </c>
      <c r="F67">
        <v>24.19</v>
      </c>
      <c r="G67">
        <v>559</v>
      </c>
      <c r="H67">
        <v>196</v>
      </c>
      <c r="I67">
        <v>26.407499999999999</v>
      </c>
      <c r="J67">
        <v>1.5270168384016101</v>
      </c>
      <c r="K67">
        <v>609.03061224489795</v>
      </c>
      <c r="L67">
        <v>559</v>
      </c>
      <c r="M67" t="s">
        <v>1348</v>
      </c>
      <c r="O67" t="s">
        <v>431</v>
      </c>
      <c r="R67">
        <f t="shared" si="2"/>
        <v>0</v>
      </c>
    </row>
    <row r="68" spans="1:18" hidden="1" x14ac:dyDescent="0.2">
      <c r="A68">
        <v>86</v>
      </c>
      <c r="B68" t="s">
        <v>1185</v>
      </c>
      <c r="C68" t="s">
        <v>1186</v>
      </c>
      <c r="D68" t="s">
        <v>1188</v>
      </c>
      <c r="E68">
        <v>495</v>
      </c>
      <c r="F68">
        <v>22.22</v>
      </c>
      <c r="G68">
        <v>562</v>
      </c>
      <c r="H68">
        <v>190</v>
      </c>
      <c r="I68">
        <v>24.9283684210526</v>
      </c>
      <c r="J68">
        <v>1.31728223874953</v>
      </c>
      <c r="K68">
        <v>375.77368421052603</v>
      </c>
      <c r="L68">
        <v>562</v>
      </c>
      <c r="M68" t="s">
        <v>1355</v>
      </c>
      <c r="O68" t="s">
        <v>1187</v>
      </c>
      <c r="P68">
        <v>1</v>
      </c>
      <c r="R68">
        <f t="shared" si="2"/>
        <v>1</v>
      </c>
    </row>
    <row r="69" spans="1:18" hidden="1" x14ac:dyDescent="0.2">
      <c r="A69">
        <v>145</v>
      </c>
      <c r="B69" t="s">
        <v>1278</v>
      </c>
      <c r="C69" t="s">
        <v>1186</v>
      </c>
      <c r="D69" t="s">
        <v>1188</v>
      </c>
      <c r="E69">
        <v>489</v>
      </c>
      <c r="F69">
        <v>22.7</v>
      </c>
      <c r="G69">
        <v>562</v>
      </c>
      <c r="H69">
        <v>190</v>
      </c>
      <c r="I69">
        <v>24.9283684210526</v>
      </c>
      <c r="J69">
        <v>1.30131518131014</v>
      </c>
      <c r="K69">
        <v>375.77368421052603</v>
      </c>
      <c r="L69">
        <v>562</v>
      </c>
      <c r="M69" t="s">
        <v>1355</v>
      </c>
      <c r="O69" t="s">
        <v>1187</v>
      </c>
      <c r="P69">
        <v>1</v>
      </c>
      <c r="R69">
        <f t="shared" si="2"/>
        <v>1</v>
      </c>
    </row>
    <row r="70" spans="1:18" hidden="1" x14ac:dyDescent="0.2">
      <c r="A70">
        <v>151</v>
      </c>
      <c r="B70" t="s">
        <v>1289</v>
      </c>
      <c r="C70" t="s">
        <v>1186</v>
      </c>
      <c r="D70" t="s">
        <v>1188</v>
      </c>
      <c r="E70">
        <v>507</v>
      </c>
      <c r="F70">
        <v>28.6</v>
      </c>
      <c r="G70">
        <v>562</v>
      </c>
      <c r="H70">
        <v>190</v>
      </c>
      <c r="I70">
        <v>24.9283684210526</v>
      </c>
      <c r="J70">
        <v>1.3492163536282999</v>
      </c>
      <c r="K70">
        <v>375.77368421052603</v>
      </c>
      <c r="L70">
        <v>562</v>
      </c>
      <c r="M70" t="s">
        <v>1355</v>
      </c>
      <c r="O70" t="s">
        <v>1187</v>
      </c>
      <c r="P70">
        <v>1</v>
      </c>
      <c r="R70">
        <f t="shared" si="2"/>
        <v>1</v>
      </c>
    </row>
    <row r="71" spans="1:18" hidden="1" x14ac:dyDescent="0.2">
      <c r="A71">
        <v>161</v>
      </c>
      <c r="B71" t="s">
        <v>1299</v>
      </c>
      <c r="C71" t="s">
        <v>1186</v>
      </c>
      <c r="D71" t="s">
        <v>1188</v>
      </c>
      <c r="E71">
        <v>507</v>
      </c>
      <c r="F71">
        <v>28.6</v>
      </c>
      <c r="G71">
        <v>562</v>
      </c>
      <c r="H71">
        <v>190</v>
      </c>
      <c r="I71">
        <v>24.9283684210526</v>
      </c>
      <c r="J71">
        <v>1.3492163536282999</v>
      </c>
      <c r="K71">
        <v>375.77368421052603</v>
      </c>
      <c r="L71">
        <v>562</v>
      </c>
      <c r="M71" t="s">
        <v>1355</v>
      </c>
      <c r="O71" t="s">
        <v>1187</v>
      </c>
      <c r="P71">
        <v>1</v>
      </c>
      <c r="R71">
        <f t="shared" si="2"/>
        <v>1</v>
      </c>
    </row>
    <row r="72" spans="1:18" hidden="1" x14ac:dyDescent="0.2">
      <c r="A72">
        <v>26</v>
      </c>
      <c r="B72" t="s">
        <v>1108</v>
      </c>
      <c r="C72" t="s">
        <v>1109</v>
      </c>
      <c r="D72" t="s">
        <v>1111</v>
      </c>
      <c r="E72">
        <v>558</v>
      </c>
      <c r="F72">
        <v>19.89</v>
      </c>
      <c r="G72">
        <v>570</v>
      </c>
      <c r="H72">
        <v>177</v>
      </c>
      <c r="I72">
        <v>26.074406779661</v>
      </c>
      <c r="J72">
        <v>1.35895319078676</v>
      </c>
      <c r="K72">
        <v>410.61016949152503</v>
      </c>
      <c r="L72">
        <v>570</v>
      </c>
      <c r="M72" t="s">
        <v>1375</v>
      </c>
      <c r="N72" t="s">
        <v>1376</v>
      </c>
      <c r="O72" t="s">
        <v>1110</v>
      </c>
      <c r="Q72">
        <v>1</v>
      </c>
      <c r="R72">
        <f t="shared" si="2"/>
        <v>1</v>
      </c>
    </row>
    <row r="73" spans="1:18" hidden="1" x14ac:dyDescent="0.2">
      <c r="A73">
        <v>48</v>
      </c>
      <c r="B73" t="s">
        <v>1137</v>
      </c>
      <c r="C73" t="s">
        <v>1109</v>
      </c>
      <c r="D73" t="s">
        <v>1111</v>
      </c>
      <c r="E73">
        <v>597</v>
      </c>
      <c r="F73">
        <v>24.29</v>
      </c>
      <c r="G73">
        <v>570</v>
      </c>
      <c r="H73">
        <v>177</v>
      </c>
      <c r="I73">
        <v>26.074406779661</v>
      </c>
      <c r="J73">
        <v>1.45393379014282</v>
      </c>
      <c r="K73">
        <v>410.61016949152503</v>
      </c>
      <c r="L73">
        <v>570</v>
      </c>
      <c r="M73" t="s">
        <v>1375</v>
      </c>
      <c r="N73" t="s">
        <v>1376</v>
      </c>
      <c r="O73" t="s">
        <v>1110</v>
      </c>
      <c r="Q73">
        <v>1</v>
      </c>
      <c r="R73">
        <f t="shared" si="2"/>
        <v>1</v>
      </c>
    </row>
    <row r="74" spans="1:18" hidden="1" x14ac:dyDescent="0.2">
      <c r="A74">
        <v>52</v>
      </c>
      <c r="B74" t="s">
        <v>1141</v>
      </c>
      <c r="C74" t="s">
        <v>1109</v>
      </c>
      <c r="D74" t="s">
        <v>1111</v>
      </c>
      <c r="E74">
        <v>597</v>
      </c>
      <c r="F74">
        <v>24.29</v>
      </c>
      <c r="G74">
        <v>570</v>
      </c>
      <c r="H74">
        <v>177</v>
      </c>
      <c r="I74">
        <v>26.074406779661</v>
      </c>
      <c r="J74">
        <v>1.45393379014282</v>
      </c>
      <c r="K74">
        <v>410.61016949152503</v>
      </c>
      <c r="L74">
        <v>570</v>
      </c>
      <c r="M74" t="s">
        <v>1375</v>
      </c>
      <c r="N74" t="s">
        <v>1376</v>
      </c>
      <c r="O74" t="s">
        <v>1110</v>
      </c>
      <c r="Q74">
        <v>1</v>
      </c>
      <c r="R74">
        <f t="shared" si="2"/>
        <v>1</v>
      </c>
    </row>
    <row r="75" spans="1:18" hidden="1" x14ac:dyDescent="0.2">
      <c r="A75">
        <v>85</v>
      </c>
      <c r="B75" t="s">
        <v>1184</v>
      </c>
      <c r="C75" t="s">
        <v>1109</v>
      </c>
      <c r="D75" t="s">
        <v>1111</v>
      </c>
      <c r="E75">
        <v>702</v>
      </c>
      <c r="F75">
        <v>22.79</v>
      </c>
      <c r="G75">
        <v>570</v>
      </c>
      <c r="H75">
        <v>177</v>
      </c>
      <c r="I75">
        <v>26.074406779661</v>
      </c>
      <c r="J75">
        <v>1.7096507884091501</v>
      </c>
      <c r="K75">
        <v>410.61016949152503</v>
      </c>
      <c r="L75">
        <v>570</v>
      </c>
      <c r="M75" t="s">
        <v>1375</v>
      </c>
      <c r="N75" t="s">
        <v>1376</v>
      </c>
      <c r="O75" t="s">
        <v>1110</v>
      </c>
      <c r="Q75">
        <v>1</v>
      </c>
      <c r="R75">
        <f t="shared" ref="R75:R106" si="3">P75+Q75</f>
        <v>1</v>
      </c>
    </row>
    <row r="76" spans="1:18" hidden="1" x14ac:dyDescent="0.2">
      <c r="A76">
        <v>88</v>
      </c>
      <c r="B76" t="s">
        <v>1190</v>
      </c>
      <c r="C76" t="s">
        <v>1109</v>
      </c>
      <c r="D76" t="s">
        <v>1111</v>
      </c>
      <c r="E76">
        <v>702</v>
      </c>
      <c r="F76">
        <v>22.79</v>
      </c>
      <c r="G76">
        <v>570</v>
      </c>
      <c r="H76">
        <v>177</v>
      </c>
      <c r="I76">
        <v>26.074406779661</v>
      </c>
      <c r="J76">
        <v>1.7096507884091501</v>
      </c>
      <c r="K76">
        <v>410.61016949152503</v>
      </c>
      <c r="L76">
        <v>570</v>
      </c>
      <c r="M76" t="s">
        <v>1375</v>
      </c>
      <c r="N76" t="s">
        <v>1376</v>
      </c>
      <c r="O76" t="s">
        <v>1110</v>
      </c>
      <c r="Q76">
        <v>1</v>
      </c>
      <c r="R76">
        <f t="shared" si="3"/>
        <v>1</v>
      </c>
    </row>
    <row r="77" spans="1:18" hidden="1" x14ac:dyDescent="0.2">
      <c r="A77">
        <v>94</v>
      </c>
      <c r="B77" t="s">
        <v>1201</v>
      </c>
      <c r="C77" t="s">
        <v>1109</v>
      </c>
      <c r="D77" t="s">
        <v>1111</v>
      </c>
      <c r="E77">
        <v>624</v>
      </c>
      <c r="F77">
        <v>23.4</v>
      </c>
      <c r="G77">
        <v>570</v>
      </c>
      <c r="H77">
        <v>177</v>
      </c>
      <c r="I77">
        <v>26.074406779661</v>
      </c>
      <c r="J77">
        <v>1.5196895896970199</v>
      </c>
      <c r="K77">
        <v>410.61016949152503</v>
      </c>
      <c r="L77">
        <v>570</v>
      </c>
      <c r="M77" t="s">
        <v>1375</v>
      </c>
      <c r="N77" t="s">
        <v>1376</v>
      </c>
      <c r="O77" t="s">
        <v>1110</v>
      </c>
      <c r="Q77">
        <v>1</v>
      </c>
      <c r="R77">
        <f t="shared" si="3"/>
        <v>1</v>
      </c>
    </row>
    <row r="78" spans="1:18" hidden="1" x14ac:dyDescent="0.2">
      <c r="A78">
        <v>96</v>
      </c>
      <c r="B78" t="s">
        <v>1203</v>
      </c>
      <c r="C78" t="s">
        <v>1109</v>
      </c>
      <c r="D78" t="s">
        <v>1111</v>
      </c>
      <c r="E78">
        <v>702</v>
      </c>
      <c r="F78">
        <v>22.93</v>
      </c>
      <c r="G78">
        <v>570</v>
      </c>
      <c r="H78">
        <v>177</v>
      </c>
      <c r="I78">
        <v>26.074406779661</v>
      </c>
      <c r="J78">
        <v>1.7096507884091501</v>
      </c>
      <c r="K78">
        <v>410.61016949152503</v>
      </c>
      <c r="L78">
        <v>570</v>
      </c>
      <c r="M78" t="s">
        <v>1375</v>
      </c>
      <c r="N78" t="s">
        <v>1376</v>
      </c>
      <c r="O78" t="s">
        <v>1110</v>
      </c>
      <c r="Q78">
        <v>1</v>
      </c>
      <c r="R78">
        <f t="shared" si="3"/>
        <v>1</v>
      </c>
    </row>
    <row r="79" spans="1:18" hidden="1" x14ac:dyDescent="0.2">
      <c r="A79">
        <v>97</v>
      </c>
      <c r="B79" t="s">
        <v>1204</v>
      </c>
      <c r="C79" t="s">
        <v>1109</v>
      </c>
      <c r="D79" t="s">
        <v>1111</v>
      </c>
      <c r="E79">
        <v>624</v>
      </c>
      <c r="F79">
        <v>23.4</v>
      </c>
      <c r="G79">
        <v>570</v>
      </c>
      <c r="H79">
        <v>177</v>
      </c>
      <c r="I79">
        <v>26.074406779661</v>
      </c>
      <c r="J79">
        <v>1.5196895896970199</v>
      </c>
      <c r="K79">
        <v>410.61016949152503</v>
      </c>
      <c r="L79">
        <v>570</v>
      </c>
      <c r="M79" t="s">
        <v>1375</v>
      </c>
      <c r="N79" t="s">
        <v>1376</v>
      </c>
      <c r="O79" t="s">
        <v>1110</v>
      </c>
      <c r="Q79">
        <v>1</v>
      </c>
      <c r="R79">
        <f t="shared" si="3"/>
        <v>1</v>
      </c>
    </row>
    <row r="80" spans="1:18" hidden="1" x14ac:dyDescent="0.2">
      <c r="A80">
        <v>108</v>
      </c>
      <c r="B80" t="s">
        <v>1220</v>
      </c>
      <c r="C80" t="s">
        <v>1109</v>
      </c>
      <c r="D80" t="s">
        <v>1111</v>
      </c>
      <c r="E80">
        <v>582</v>
      </c>
      <c r="F80">
        <v>26.63</v>
      </c>
      <c r="G80">
        <v>570</v>
      </c>
      <c r="H80">
        <v>177</v>
      </c>
      <c r="I80">
        <v>26.074406779661</v>
      </c>
      <c r="J80">
        <v>1.41740279039049</v>
      </c>
      <c r="K80">
        <v>410.61016949152503</v>
      </c>
      <c r="L80">
        <v>570</v>
      </c>
      <c r="M80" t="s">
        <v>1375</v>
      </c>
      <c r="N80" t="s">
        <v>1376</v>
      </c>
      <c r="O80" t="s">
        <v>1110</v>
      </c>
      <c r="Q80">
        <v>1</v>
      </c>
      <c r="R80">
        <f t="shared" si="3"/>
        <v>1</v>
      </c>
    </row>
    <row r="81" spans="1:18" hidden="1" x14ac:dyDescent="0.2">
      <c r="A81">
        <v>120</v>
      </c>
      <c r="B81" t="s">
        <v>1240</v>
      </c>
      <c r="C81" t="s">
        <v>1109</v>
      </c>
      <c r="D81" t="s">
        <v>1111</v>
      </c>
      <c r="E81">
        <v>702</v>
      </c>
      <c r="F81">
        <v>22.79</v>
      </c>
      <c r="G81">
        <v>570</v>
      </c>
      <c r="H81">
        <v>177</v>
      </c>
      <c r="I81">
        <v>26.074406779661</v>
      </c>
      <c r="J81">
        <v>1.7096507884091501</v>
      </c>
      <c r="K81">
        <v>410.61016949152503</v>
      </c>
      <c r="L81">
        <v>570</v>
      </c>
      <c r="M81" t="s">
        <v>1375</v>
      </c>
      <c r="N81" t="s">
        <v>1376</v>
      </c>
      <c r="O81" t="s">
        <v>1110</v>
      </c>
      <c r="Q81">
        <v>1</v>
      </c>
      <c r="R81">
        <f t="shared" si="3"/>
        <v>1</v>
      </c>
    </row>
    <row r="82" spans="1:18" hidden="1" x14ac:dyDescent="0.2">
      <c r="A82">
        <v>123</v>
      </c>
      <c r="B82" t="s">
        <v>1243</v>
      </c>
      <c r="C82" t="s">
        <v>1109</v>
      </c>
      <c r="D82" t="s">
        <v>1111</v>
      </c>
      <c r="E82">
        <v>702</v>
      </c>
      <c r="F82">
        <v>22.93</v>
      </c>
      <c r="G82">
        <v>570</v>
      </c>
      <c r="H82">
        <v>177</v>
      </c>
      <c r="I82">
        <v>26.074406779661</v>
      </c>
      <c r="J82">
        <v>1.7096507884091501</v>
      </c>
      <c r="K82">
        <v>410.61016949152503</v>
      </c>
      <c r="L82">
        <v>570</v>
      </c>
      <c r="M82" t="s">
        <v>1375</v>
      </c>
      <c r="N82" t="s">
        <v>1376</v>
      </c>
      <c r="O82" t="s">
        <v>1110</v>
      </c>
      <c r="Q82">
        <v>1</v>
      </c>
      <c r="R82">
        <f t="shared" si="3"/>
        <v>1</v>
      </c>
    </row>
    <row r="83" spans="1:18" hidden="1" x14ac:dyDescent="0.2">
      <c r="A83">
        <v>129</v>
      </c>
      <c r="B83" t="s">
        <v>1254</v>
      </c>
      <c r="C83" t="s">
        <v>1109</v>
      </c>
      <c r="D83" t="s">
        <v>1111</v>
      </c>
      <c r="E83">
        <v>702</v>
      </c>
      <c r="F83">
        <v>23.22</v>
      </c>
      <c r="G83">
        <v>570</v>
      </c>
      <c r="H83">
        <v>177</v>
      </c>
      <c r="I83">
        <v>26.074406779661</v>
      </c>
      <c r="J83">
        <v>1.7096507884091501</v>
      </c>
      <c r="K83">
        <v>410.61016949152503</v>
      </c>
      <c r="L83">
        <v>570</v>
      </c>
      <c r="M83" t="s">
        <v>1375</v>
      </c>
      <c r="N83" t="s">
        <v>1376</v>
      </c>
      <c r="O83" t="s">
        <v>1110</v>
      </c>
      <c r="Q83">
        <v>1</v>
      </c>
      <c r="R83">
        <f t="shared" si="3"/>
        <v>1</v>
      </c>
    </row>
    <row r="84" spans="1:18" hidden="1" x14ac:dyDescent="0.2">
      <c r="A84">
        <v>143</v>
      </c>
      <c r="B84" t="s">
        <v>1276</v>
      </c>
      <c r="C84" t="s">
        <v>1109</v>
      </c>
      <c r="D84" t="s">
        <v>1111</v>
      </c>
      <c r="E84">
        <v>633</v>
      </c>
      <c r="F84">
        <v>22.75</v>
      </c>
      <c r="G84">
        <v>570</v>
      </c>
      <c r="H84">
        <v>177</v>
      </c>
      <c r="I84">
        <v>26.074406779661</v>
      </c>
      <c r="J84">
        <v>1.5416081895484199</v>
      </c>
      <c r="K84">
        <v>410.61016949152503</v>
      </c>
      <c r="L84">
        <v>570</v>
      </c>
      <c r="M84" t="s">
        <v>1375</v>
      </c>
      <c r="N84" t="s">
        <v>1376</v>
      </c>
      <c r="O84" t="s">
        <v>1110</v>
      </c>
      <c r="Q84">
        <v>1</v>
      </c>
      <c r="R84">
        <f t="shared" si="3"/>
        <v>1</v>
      </c>
    </row>
    <row r="85" spans="1:18" hidden="1" x14ac:dyDescent="0.2">
      <c r="A85">
        <v>152</v>
      </c>
      <c r="B85" t="s">
        <v>1290</v>
      </c>
      <c r="C85" t="s">
        <v>1109</v>
      </c>
      <c r="D85" t="s">
        <v>1111</v>
      </c>
      <c r="E85">
        <v>651</v>
      </c>
      <c r="F85">
        <v>23.66</v>
      </c>
      <c r="G85">
        <v>570</v>
      </c>
      <c r="H85">
        <v>177</v>
      </c>
      <c r="I85">
        <v>26.074406779661</v>
      </c>
      <c r="J85">
        <v>1.5854453892512199</v>
      </c>
      <c r="K85">
        <v>410.61016949152503</v>
      </c>
      <c r="L85">
        <v>570</v>
      </c>
      <c r="M85" t="s">
        <v>1375</v>
      </c>
      <c r="N85" t="s">
        <v>1376</v>
      </c>
      <c r="O85" t="s">
        <v>1110</v>
      </c>
      <c r="Q85">
        <v>1</v>
      </c>
      <c r="R85">
        <f t="shared" si="3"/>
        <v>1</v>
      </c>
    </row>
    <row r="86" spans="1:18" hidden="1" x14ac:dyDescent="0.2">
      <c r="A86">
        <v>157</v>
      </c>
      <c r="B86" t="s">
        <v>1295</v>
      </c>
      <c r="C86" t="s">
        <v>1109</v>
      </c>
      <c r="D86" t="s">
        <v>1111</v>
      </c>
      <c r="E86">
        <v>645</v>
      </c>
      <c r="F86">
        <v>23.26</v>
      </c>
      <c r="G86">
        <v>570</v>
      </c>
      <c r="H86">
        <v>177</v>
      </c>
      <c r="I86">
        <v>26.074406779661</v>
      </c>
      <c r="J86">
        <v>1.5708329893502799</v>
      </c>
      <c r="K86">
        <v>410.61016949152503</v>
      </c>
      <c r="L86">
        <v>570</v>
      </c>
      <c r="M86" t="s">
        <v>1375</v>
      </c>
      <c r="N86" t="s">
        <v>1376</v>
      </c>
      <c r="O86" t="s">
        <v>1110</v>
      </c>
      <c r="Q86">
        <v>1</v>
      </c>
      <c r="R86">
        <f t="shared" si="3"/>
        <v>1</v>
      </c>
    </row>
    <row r="87" spans="1:18" hidden="1" x14ac:dyDescent="0.2">
      <c r="A87">
        <v>162</v>
      </c>
      <c r="B87" t="s">
        <v>1300</v>
      </c>
      <c r="C87" t="s">
        <v>1109</v>
      </c>
      <c r="D87" t="s">
        <v>1111</v>
      </c>
      <c r="E87">
        <v>651</v>
      </c>
      <c r="F87">
        <v>23.66</v>
      </c>
      <c r="G87">
        <v>570</v>
      </c>
      <c r="H87">
        <v>177</v>
      </c>
      <c r="I87">
        <v>26.074406779661</v>
      </c>
      <c r="J87">
        <v>1.5854453892512199</v>
      </c>
      <c r="K87">
        <v>410.61016949152503</v>
      </c>
      <c r="L87">
        <v>570</v>
      </c>
      <c r="M87" t="s">
        <v>1375</v>
      </c>
      <c r="N87" t="s">
        <v>1376</v>
      </c>
      <c r="O87" t="s">
        <v>1110</v>
      </c>
      <c r="Q87">
        <v>1</v>
      </c>
      <c r="R87">
        <f t="shared" si="3"/>
        <v>1</v>
      </c>
    </row>
    <row r="88" spans="1:18" hidden="1" x14ac:dyDescent="0.2">
      <c r="A88">
        <v>166</v>
      </c>
      <c r="B88" t="s">
        <v>1304</v>
      </c>
      <c r="C88" t="s">
        <v>1109</v>
      </c>
      <c r="D88" t="s">
        <v>1111</v>
      </c>
      <c r="E88">
        <v>651</v>
      </c>
      <c r="F88">
        <v>23.66</v>
      </c>
      <c r="G88">
        <v>570</v>
      </c>
      <c r="H88">
        <v>177</v>
      </c>
      <c r="I88">
        <v>26.074406779661</v>
      </c>
      <c r="J88">
        <v>1.5854453892512199</v>
      </c>
      <c r="K88">
        <v>410.61016949152503</v>
      </c>
      <c r="L88">
        <v>570</v>
      </c>
      <c r="M88" t="s">
        <v>1375</v>
      </c>
      <c r="N88" t="s">
        <v>1376</v>
      </c>
      <c r="O88" t="s">
        <v>1110</v>
      </c>
      <c r="Q88">
        <v>1</v>
      </c>
      <c r="R88">
        <f t="shared" si="3"/>
        <v>1</v>
      </c>
    </row>
    <row r="89" spans="1:18" hidden="1" x14ac:dyDescent="0.2">
      <c r="A89">
        <v>171</v>
      </c>
      <c r="B89" t="s">
        <v>1313</v>
      </c>
      <c r="C89" t="s">
        <v>1109</v>
      </c>
      <c r="D89" t="s">
        <v>1111</v>
      </c>
      <c r="E89">
        <v>651</v>
      </c>
      <c r="F89">
        <v>23.66</v>
      </c>
      <c r="G89">
        <v>570</v>
      </c>
      <c r="H89">
        <v>177</v>
      </c>
      <c r="I89">
        <v>26.074406779661</v>
      </c>
      <c r="J89">
        <v>1.5854453892512199</v>
      </c>
      <c r="K89">
        <v>410.61016949152503</v>
      </c>
      <c r="L89">
        <v>570</v>
      </c>
      <c r="M89" t="s">
        <v>1375</v>
      </c>
      <c r="N89" t="s">
        <v>1376</v>
      </c>
      <c r="O89" t="s">
        <v>1110</v>
      </c>
      <c r="Q89">
        <v>1</v>
      </c>
      <c r="R89">
        <f t="shared" si="3"/>
        <v>1</v>
      </c>
    </row>
    <row r="90" spans="1:18" hidden="1" x14ac:dyDescent="0.2">
      <c r="A90">
        <v>172</v>
      </c>
      <c r="B90" t="s">
        <v>1314</v>
      </c>
      <c r="C90" t="s">
        <v>1109</v>
      </c>
      <c r="D90" t="s">
        <v>1111</v>
      </c>
      <c r="E90">
        <v>651</v>
      </c>
      <c r="F90">
        <v>23.66</v>
      </c>
      <c r="G90">
        <v>570</v>
      </c>
      <c r="H90">
        <v>177</v>
      </c>
      <c r="I90">
        <v>26.074406779661</v>
      </c>
      <c r="J90">
        <v>1.5854453892512199</v>
      </c>
      <c r="K90">
        <v>410.61016949152503</v>
      </c>
      <c r="L90">
        <v>570</v>
      </c>
      <c r="M90" t="s">
        <v>1375</v>
      </c>
      <c r="N90" t="s">
        <v>1376</v>
      </c>
      <c r="O90" t="s">
        <v>1110</v>
      </c>
      <c r="Q90">
        <v>1</v>
      </c>
      <c r="R90">
        <f t="shared" si="3"/>
        <v>1</v>
      </c>
    </row>
    <row r="91" spans="1:18" hidden="1" x14ac:dyDescent="0.2">
      <c r="A91">
        <v>175</v>
      </c>
      <c r="B91" t="s">
        <v>1319</v>
      </c>
      <c r="C91" t="s">
        <v>1109</v>
      </c>
      <c r="D91" t="s">
        <v>1111</v>
      </c>
      <c r="E91">
        <v>591</v>
      </c>
      <c r="F91">
        <v>23.69</v>
      </c>
      <c r="G91">
        <v>570</v>
      </c>
      <c r="H91">
        <v>177</v>
      </c>
      <c r="I91">
        <v>26.074406779661</v>
      </c>
      <c r="J91">
        <v>1.43932139024189</v>
      </c>
      <c r="K91">
        <v>410.61016949152503</v>
      </c>
      <c r="L91">
        <v>570</v>
      </c>
      <c r="M91" t="s">
        <v>1375</v>
      </c>
      <c r="N91" t="s">
        <v>1376</v>
      </c>
      <c r="O91" t="s">
        <v>1110</v>
      </c>
      <c r="Q91">
        <v>1</v>
      </c>
      <c r="R91">
        <f t="shared" si="3"/>
        <v>1</v>
      </c>
    </row>
    <row r="92" spans="1:18" hidden="1" x14ac:dyDescent="0.2">
      <c r="A92">
        <v>177</v>
      </c>
      <c r="B92" t="s">
        <v>1321</v>
      </c>
      <c r="C92" t="s">
        <v>1109</v>
      </c>
      <c r="D92" t="s">
        <v>1111</v>
      </c>
      <c r="E92">
        <v>591</v>
      </c>
      <c r="F92">
        <v>23.52</v>
      </c>
      <c r="G92">
        <v>570</v>
      </c>
      <c r="H92">
        <v>177</v>
      </c>
      <c r="I92">
        <v>26.074406779661</v>
      </c>
      <c r="J92">
        <v>1.43932139024189</v>
      </c>
      <c r="K92">
        <v>410.61016949152503</v>
      </c>
      <c r="L92">
        <v>570</v>
      </c>
      <c r="M92" t="s">
        <v>1375</v>
      </c>
      <c r="N92" t="s">
        <v>1376</v>
      </c>
      <c r="O92" t="s">
        <v>1110</v>
      </c>
      <c r="Q92">
        <v>1</v>
      </c>
      <c r="R92">
        <f t="shared" si="3"/>
        <v>1</v>
      </c>
    </row>
    <row r="93" spans="1:18" hidden="1" x14ac:dyDescent="0.2">
      <c r="A93">
        <v>179</v>
      </c>
      <c r="B93" t="s">
        <v>1323</v>
      </c>
      <c r="C93" t="s">
        <v>1109</v>
      </c>
      <c r="D93" t="s">
        <v>1111</v>
      </c>
      <c r="E93">
        <v>591</v>
      </c>
      <c r="F93">
        <v>23.35</v>
      </c>
      <c r="G93">
        <v>570</v>
      </c>
      <c r="H93">
        <v>177</v>
      </c>
      <c r="I93">
        <v>26.074406779661</v>
      </c>
      <c r="J93">
        <v>1.43932139024189</v>
      </c>
      <c r="K93">
        <v>410.61016949152503</v>
      </c>
      <c r="L93">
        <v>570</v>
      </c>
      <c r="M93" t="s">
        <v>1375</v>
      </c>
      <c r="N93" t="s">
        <v>1376</v>
      </c>
      <c r="O93" t="s">
        <v>1110</v>
      </c>
      <c r="Q93">
        <v>1</v>
      </c>
      <c r="R93">
        <f t="shared" si="3"/>
        <v>1</v>
      </c>
    </row>
    <row r="94" spans="1:18" hidden="1" x14ac:dyDescent="0.2">
      <c r="A94">
        <v>182</v>
      </c>
      <c r="B94" t="s">
        <v>1326</v>
      </c>
      <c r="C94" t="s">
        <v>1109</v>
      </c>
      <c r="D94" t="s">
        <v>1111</v>
      </c>
      <c r="E94">
        <v>585</v>
      </c>
      <c r="F94">
        <v>24.1</v>
      </c>
      <c r="G94">
        <v>570</v>
      </c>
      <c r="H94">
        <v>177</v>
      </c>
      <c r="I94">
        <v>26.074406779661</v>
      </c>
      <c r="J94">
        <v>1.42470899034096</v>
      </c>
      <c r="K94">
        <v>410.61016949152503</v>
      </c>
      <c r="L94">
        <v>570</v>
      </c>
      <c r="M94" t="s">
        <v>1375</v>
      </c>
      <c r="N94" t="s">
        <v>1376</v>
      </c>
      <c r="O94" t="s">
        <v>1110</v>
      </c>
      <c r="Q94">
        <v>1</v>
      </c>
      <c r="R94">
        <f t="shared" si="3"/>
        <v>1</v>
      </c>
    </row>
    <row r="95" spans="1:18" hidden="1" x14ac:dyDescent="0.2">
      <c r="A95">
        <v>185</v>
      </c>
      <c r="B95" t="s">
        <v>1329</v>
      </c>
      <c r="C95" t="s">
        <v>1109</v>
      </c>
      <c r="D95" t="s">
        <v>1111</v>
      </c>
      <c r="E95">
        <v>585</v>
      </c>
      <c r="F95">
        <v>24.1</v>
      </c>
      <c r="G95">
        <v>570</v>
      </c>
      <c r="H95">
        <v>177</v>
      </c>
      <c r="I95">
        <v>26.074406779661</v>
      </c>
      <c r="J95">
        <v>1.42470899034096</v>
      </c>
      <c r="K95">
        <v>410.61016949152503</v>
      </c>
      <c r="L95">
        <v>570</v>
      </c>
      <c r="M95" t="s">
        <v>1375</v>
      </c>
      <c r="N95" t="s">
        <v>1376</v>
      </c>
      <c r="O95" t="s">
        <v>1110</v>
      </c>
      <c r="Q95">
        <v>1</v>
      </c>
      <c r="R95">
        <f t="shared" si="3"/>
        <v>1</v>
      </c>
    </row>
    <row r="96" spans="1:18" hidden="1" x14ac:dyDescent="0.2">
      <c r="A96">
        <v>188</v>
      </c>
      <c r="B96" t="s">
        <v>1335</v>
      </c>
      <c r="C96" t="s">
        <v>1109</v>
      </c>
      <c r="D96" t="s">
        <v>1111</v>
      </c>
      <c r="E96">
        <v>546</v>
      </c>
      <c r="F96">
        <v>21.98</v>
      </c>
      <c r="G96">
        <v>570</v>
      </c>
      <c r="H96">
        <v>177</v>
      </c>
      <c r="I96">
        <v>26.074406779661</v>
      </c>
      <c r="J96">
        <v>1.32972839098489</v>
      </c>
      <c r="K96">
        <v>410.61016949152503</v>
      </c>
      <c r="L96">
        <v>570</v>
      </c>
      <c r="M96" t="s">
        <v>1375</v>
      </c>
      <c r="N96" t="s">
        <v>1376</v>
      </c>
      <c r="O96" t="s">
        <v>1110</v>
      </c>
      <c r="Q96">
        <v>1</v>
      </c>
      <c r="R96">
        <f t="shared" si="3"/>
        <v>1</v>
      </c>
    </row>
    <row r="97" spans="1:18" hidden="1" x14ac:dyDescent="0.2">
      <c r="A97">
        <v>195</v>
      </c>
      <c r="B97" t="s">
        <v>1345</v>
      </c>
      <c r="C97" t="s">
        <v>1109</v>
      </c>
      <c r="D97" t="s">
        <v>1111</v>
      </c>
      <c r="E97">
        <v>585</v>
      </c>
      <c r="F97">
        <v>24.1</v>
      </c>
      <c r="G97">
        <v>570</v>
      </c>
      <c r="H97">
        <v>177</v>
      </c>
      <c r="I97">
        <v>26.074406779661</v>
      </c>
      <c r="J97">
        <v>1.42470899034096</v>
      </c>
      <c r="K97">
        <v>410.61016949152503</v>
      </c>
      <c r="L97">
        <v>570</v>
      </c>
      <c r="M97" t="s">
        <v>1375</v>
      </c>
      <c r="N97" t="s">
        <v>1376</v>
      </c>
      <c r="O97" t="s">
        <v>1110</v>
      </c>
      <c r="Q97">
        <v>1</v>
      </c>
      <c r="R97">
        <f t="shared" si="3"/>
        <v>1</v>
      </c>
    </row>
    <row r="98" spans="1:18" hidden="1" x14ac:dyDescent="0.2">
      <c r="A98">
        <v>35</v>
      </c>
      <c r="B98" t="s">
        <v>1120</v>
      </c>
      <c r="C98" t="s">
        <v>431</v>
      </c>
      <c r="D98" t="s">
        <v>431</v>
      </c>
      <c r="E98">
        <v>243</v>
      </c>
      <c r="F98">
        <v>22.63</v>
      </c>
      <c r="G98">
        <v>574</v>
      </c>
      <c r="H98">
        <v>153</v>
      </c>
      <c r="I98">
        <v>16.694313725490201</v>
      </c>
      <c r="J98">
        <v>1.3389152981849599</v>
      </c>
      <c r="K98">
        <v>181.49019607843101</v>
      </c>
      <c r="L98">
        <v>574</v>
      </c>
      <c r="M98" t="s">
        <v>1355</v>
      </c>
      <c r="O98" t="s">
        <v>1121</v>
      </c>
      <c r="P98">
        <v>1</v>
      </c>
      <c r="R98">
        <f t="shared" si="3"/>
        <v>1</v>
      </c>
    </row>
    <row r="99" spans="1:18" x14ac:dyDescent="0.2">
      <c r="A99">
        <v>7</v>
      </c>
      <c r="B99" t="s">
        <v>1074</v>
      </c>
      <c r="C99" t="s">
        <v>1075</v>
      </c>
      <c r="D99" t="s">
        <v>1076</v>
      </c>
      <c r="E99">
        <v>717</v>
      </c>
      <c r="F99">
        <v>18.13</v>
      </c>
      <c r="G99">
        <v>368</v>
      </c>
      <c r="H99">
        <v>245</v>
      </c>
      <c r="I99">
        <v>18.230734693877601</v>
      </c>
      <c r="J99">
        <v>2.14691647723106</v>
      </c>
      <c r="K99">
        <v>333.96734693877602</v>
      </c>
      <c r="L99" t="s">
        <v>757</v>
      </c>
      <c r="M99" t="s">
        <v>1348</v>
      </c>
      <c r="O99" t="s">
        <v>793</v>
      </c>
      <c r="R99">
        <f t="shared" si="3"/>
        <v>0</v>
      </c>
    </row>
    <row r="100" spans="1:18" x14ac:dyDescent="0.2">
      <c r="A100">
        <v>21</v>
      </c>
      <c r="B100" t="s">
        <v>1101</v>
      </c>
      <c r="C100" t="s">
        <v>1075</v>
      </c>
      <c r="D100" t="s">
        <v>1076</v>
      </c>
      <c r="E100">
        <v>858</v>
      </c>
      <c r="F100">
        <v>21.45</v>
      </c>
      <c r="G100">
        <v>368</v>
      </c>
      <c r="H100">
        <v>245</v>
      </c>
      <c r="I100">
        <v>18.230734693877601</v>
      </c>
      <c r="J100">
        <v>2.5691134413727399</v>
      </c>
      <c r="K100">
        <v>333.96734693877602</v>
      </c>
      <c r="L100" t="s">
        <v>757</v>
      </c>
      <c r="M100" t="s">
        <v>1348</v>
      </c>
      <c r="O100" t="s">
        <v>793</v>
      </c>
      <c r="R100">
        <f t="shared" si="3"/>
        <v>0</v>
      </c>
    </row>
    <row r="101" spans="1:18" x14ac:dyDescent="0.2">
      <c r="A101">
        <v>34</v>
      </c>
      <c r="B101" t="s">
        <v>1119</v>
      </c>
      <c r="C101" t="s">
        <v>1075</v>
      </c>
      <c r="D101" t="s">
        <v>1076</v>
      </c>
      <c r="E101">
        <v>1017</v>
      </c>
      <c r="F101">
        <v>13.57</v>
      </c>
      <c r="G101">
        <v>368</v>
      </c>
      <c r="H101">
        <v>245</v>
      </c>
      <c r="I101">
        <v>18.230734693877601</v>
      </c>
      <c r="J101">
        <v>3.0452078902984501</v>
      </c>
      <c r="K101">
        <v>333.96734693877602</v>
      </c>
      <c r="L101" t="s">
        <v>757</v>
      </c>
      <c r="M101" t="s">
        <v>1348</v>
      </c>
      <c r="O101" t="s">
        <v>793</v>
      </c>
      <c r="R101">
        <f t="shared" si="3"/>
        <v>0</v>
      </c>
    </row>
    <row r="102" spans="1:18" x14ac:dyDescent="0.2">
      <c r="A102">
        <v>37</v>
      </c>
      <c r="B102" t="s">
        <v>1123</v>
      </c>
      <c r="C102" t="s">
        <v>1075</v>
      </c>
      <c r="D102" t="s">
        <v>1076</v>
      </c>
      <c r="E102">
        <v>471</v>
      </c>
      <c r="F102">
        <v>18.260000000000002</v>
      </c>
      <c r="G102">
        <v>368</v>
      </c>
      <c r="H102">
        <v>245</v>
      </c>
      <c r="I102">
        <v>18.230734693877601</v>
      </c>
      <c r="J102">
        <v>1.4103175185157999</v>
      </c>
      <c r="K102">
        <v>333.96734693877602</v>
      </c>
      <c r="L102" t="s">
        <v>757</v>
      </c>
      <c r="M102" t="s">
        <v>1348</v>
      </c>
      <c r="O102" t="s">
        <v>793</v>
      </c>
      <c r="R102">
        <f t="shared" si="3"/>
        <v>0</v>
      </c>
    </row>
    <row r="103" spans="1:18" x14ac:dyDescent="0.2">
      <c r="A103">
        <v>46</v>
      </c>
      <c r="B103" t="s">
        <v>1134</v>
      </c>
      <c r="C103" t="s">
        <v>1075</v>
      </c>
      <c r="D103" t="s">
        <v>1076</v>
      </c>
      <c r="E103">
        <v>615</v>
      </c>
      <c r="F103">
        <v>13.17</v>
      </c>
      <c r="G103">
        <v>368</v>
      </c>
      <c r="H103">
        <v>245</v>
      </c>
      <c r="I103">
        <v>18.230734693877601</v>
      </c>
      <c r="J103">
        <v>1.8414973967881501</v>
      </c>
      <c r="K103">
        <v>333.96734693877602</v>
      </c>
      <c r="L103" t="s">
        <v>757</v>
      </c>
      <c r="M103" t="s">
        <v>1348</v>
      </c>
      <c r="O103" t="s">
        <v>793</v>
      </c>
      <c r="R103">
        <f t="shared" si="3"/>
        <v>0</v>
      </c>
    </row>
    <row r="104" spans="1:18" x14ac:dyDescent="0.2">
      <c r="A104">
        <v>56</v>
      </c>
      <c r="B104" t="s">
        <v>1145</v>
      </c>
      <c r="C104" t="s">
        <v>1075</v>
      </c>
      <c r="D104" t="s">
        <v>1076</v>
      </c>
      <c r="E104">
        <v>459</v>
      </c>
      <c r="F104">
        <v>17.86</v>
      </c>
      <c r="G104">
        <v>368</v>
      </c>
      <c r="H104">
        <v>245</v>
      </c>
      <c r="I104">
        <v>18.230734693877601</v>
      </c>
      <c r="J104">
        <v>1.37438586199311</v>
      </c>
      <c r="K104">
        <v>333.96734693877602</v>
      </c>
      <c r="L104" t="s">
        <v>757</v>
      </c>
      <c r="M104" t="s">
        <v>1348</v>
      </c>
      <c r="O104" t="s">
        <v>793</v>
      </c>
      <c r="R104">
        <f t="shared" si="3"/>
        <v>0</v>
      </c>
    </row>
    <row r="105" spans="1:18" x14ac:dyDescent="0.2">
      <c r="A105">
        <v>60</v>
      </c>
      <c r="B105" t="s">
        <v>1149</v>
      </c>
      <c r="C105" t="s">
        <v>1075</v>
      </c>
      <c r="D105" t="s">
        <v>1076</v>
      </c>
      <c r="E105">
        <v>507</v>
      </c>
      <c r="F105">
        <v>20.12</v>
      </c>
      <c r="G105">
        <v>368</v>
      </c>
      <c r="H105">
        <v>245</v>
      </c>
      <c r="I105">
        <v>18.230734693877601</v>
      </c>
      <c r="J105">
        <v>1.5181124880838901</v>
      </c>
      <c r="K105">
        <v>333.96734693877602</v>
      </c>
      <c r="L105" t="s">
        <v>757</v>
      </c>
      <c r="M105" t="s">
        <v>1348</v>
      </c>
      <c r="O105" t="s">
        <v>793</v>
      </c>
      <c r="R105">
        <f t="shared" si="3"/>
        <v>0</v>
      </c>
    </row>
    <row r="106" spans="1:18" x14ac:dyDescent="0.2">
      <c r="A106">
        <v>65</v>
      </c>
      <c r="B106" t="s">
        <v>1154</v>
      </c>
      <c r="C106" t="s">
        <v>1075</v>
      </c>
      <c r="D106" t="s">
        <v>1076</v>
      </c>
      <c r="E106">
        <v>939</v>
      </c>
      <c r="F106">
        <v>20.34</v>
      </c>
      <c r="G106">
        <v>368</v>
      </c>
      <c r="H106">
        <v>245</v>
      </c>
      <c r="I106">
        <v>18.230734693877601</v>
      </c>
      <c r="J106">
        <v>2.8116521229009299</v>
      </c>
      <c r="K106">
        <v>333.96734693877602</v>
      </c>
      <c r="L106" t="s">
        <v>757</v>
      </c>
      <c r="M106" t="s">
        <v>1348</v>
      </c>
      <c r="O106" t="s">
        <v>793</v>
      </c>
      <c r="R106">
        <f t="shared" si="3"/>
        <v>0</v>
      </c>
    </row>
    <row r="107" spans="1:18" x14ac:dyDescent="0.2">
      <c r="A107">
        <v>75</v>
      </c>
      <c r="B107" t="s">
        <v>1171</v>
      </c>
      <c r="C107" t="s">
        <v>1075</v>
      </c>
      <c r="D107" t="s">
        <v>1076</v>
      </c>
      <c r="E107">
        <v>516</v>
      </c>
      <c r="F107">
        <v>17.829999999999998</v>
      </c>
      <c r="G107">
        <v>368</v>
      </c>
      <c r="H107">
        <v>245</v>
      </c>
      <c r="I107">
        <v>18.230734693877601</v>
      </c>
      <c r="J107">
        <v>1.5450612304759099</v>
      </c>
      <c r="K107">
        <v>333.96734693877602</v>
      </c>
      <c r="L107" t="s">
        <v>757</v>
      </c>
      <c r="M107" t="s">
        <v>1348</v>
      </c>
      <c r="O107" t="s">
        <v>793</v>
      </c>
      <c r="R107">
        <f t="shared" ref="R107:R138" si="4">P107+Q107</f>
        <v>0</v>
      </c>
    </row>
    <row r="108" spans="1:18" x14ac:dyDescent="0.2">
      <c r="A108">
        <v>79</v>
      </c>
      <c r="B108" t="s">
        <v>1175</v>
      </c>
      <c r="C108" t="s">
        <v>1075</v>
      </c>
      <c r="D108" t="s">
        <v>1076</v>
      </c>
      <c r="E108">
        <v>765</v>
      </c>
      <c r="F108">
        <v>12.03</v>
      </c>
      <c r="G108">
        <v>368</v>
      </c>
      <c r="H108">
        <v>245</v>
      </c>
      <c r="I108">
        <v>18.230734693877601</v>
      </c>
      <c r="J108">
        <v>2.2906431033218499</v>
      </c>
      <c r="K108">
        <v>333.96734693877602</v>
      </c>
      <c r="L108" t="s">
        <v>757</v>
      </c>
      <c r="M108" t="s">
        <v>1348</v>
      </c>
      <c r="O108" t="s">
        <v>793</v>
      </c>
      <c r="R108">
        <f t="shared" si="4"/>
        <v>0</v>
      </c>
    </row>
    <row r="109" spans="1:18" x14ac:dyDescent="0.2">
      <c r="A109">
        <v>82</v>
      </c>
      <c r="B109" t="s">
        <v>1178</v>
      </c>
      <c r="C109" t="s">
        <v>1075</v>
      </c>
      <c r="D109" t="s">
        <v>1076</v>
      </c>
      <c r="E109">
        <v>741</v>
      </c>
      <c r="F109">
        <v>15.25</v>
      </c>
      <c r="G109">
        <v>368</v>
      </c>
      <c r="H109">
        <v>245</v>
      </c>
      <c r="I109">
        <v>18.230734693877601</v>
      </c>
      <c r="J109">
        <v>2.2187797902764501</v>
      </c>
      <c r="K109">
        <v>333.96734693877602</v>
      </c>
      <c r="L109" t="s">
        <v>757</v>
      </c>
      <c r="M109" t="s">
        <v>1348</v>
      </c>
      <c r="O109" t="s">
        <v>793</v>
      </c>
      <c r="R109">
        <f t="shared" si="4"/>
        <v>0</v>
      </c>
    </row>
    <row r="110" spans="1:18" x14ac:dyDescent="0.2">
      <c r="A110">
        <v>102</v>
      </c>
      <c r="B110" t="s">
        <v>1212</v>
      </c>
      <c r="C110" t="s">
        <v>1075</v>
      </c>
      <c r="D110" t="s">
        <v>1076</v>
      </c>
      <c r="E110">
        <v>909</v>
      </c>
      <c r="F110">
        <v>22.88</v>
      </c>
      <c r="G110">
        <v>368</v>
      </c>
      <c r="H110">
        <v>245</v>
      </c>
      <c r="I110">
        <v>18.230734693877601</v>
      </c>
      <c r="J110">
        <v>2.7218229815941899</v>
      </c>
      <c r="K110">
        <v>333.96734693877602</v>
      </c>
      <c r="L110" t="s">
        <v>757</v>
      </c>
      <c r="M110" t="s">
        <v>1348</v>
      </c>
      <c r="O110" t="s">
        <v>793</v>
      </c>
      <c r="R110">
        <f t="shared" si="4"/>
        <v>0</v>
      </c>
    </row>
    <row r="111" spans="1:18" x14ac:dyDescent="0.2">
      <c r="A111">
        <v>168</v>
      </c>
      <c r="B111" t="s">
        <v>1307</v>
      </c>
      <c r="C111" t="s">
        <v>1075</v>
      </c>
      <c r="D111" t="s">
        <v>1076</v>
      </c>
      <c r="E111">
        <v>495</v>
      </c>
      <c r="F111">
        <v>17.37</v>
      </c>
      <c r="G111">
        <v>368</v>
      </c>
      <c r="H111">
        <v>245</v>
      </c>
      <c r="I111">
        <v>18.230734693877601</v>
      </c>
      <c r="J111">
        <v>1.48218083156119</v>
      </c>
      <c r="K111">
        <v>333.96734693877602</v>
      </c>
      <c r="L111" t="s">
        <v>757</v>
      </c>
      <c r="M111" t="s">
        <v>1348</v>
      </c>
      <c r="O111" t="s">
        <v>793</v>
      </c>
      <c r="R111">
        <f t="shared" si="4"/>
        <v>0</v>
      </c>
    </row>
    <row r="112" spans="1:18" x14ac:dyDescent="0.2">
      <c r="A112">
        <v>192</v>
      </c>
      <c r="B112" t="s">
        <v>1339</v>
      </c>
      <c r="C112" t="s">
        <v>1075</v>
      </c>
      <c r="D112" t="s">
        <v>1076</v>
      </c>
      <c r="E112">
        <v>663</v>
      </c>
      <c r="F112">
        <v>11.92</v>
      </c>
      <c r="G112">
        <v>368</v>
      </c>
      <c r="H112">
        <v>245</v>
      </c>
      <c r="I112">
        <v>18.230734693877601</v>
      </c>
      <c r="J112">
        <v>1.98522402287893</v>
      </c>
      <c r="K112">
        <v>333.96734693877602</v>
      </c>
      <c r="L112" t="s">
        <v>757</v>
      </c>
      <c r="M112" t="s">
        <v>1348</v>
      </c>
      <c r="O112" t="s">
        <v>793</v>
      </c>
      <c r="R112">
        <f t="shared" si="4"/>
        <v>0</v>
      </c>
    </row>
    <row r="113" spans="1:18" hidden="1" x14ac:dyDescent="0.2">
      <c r="A113">
        <v>3</v>
      </c>
      <c r="B113" t="s">
        <v>1062</v>
      </c>
      <c r="C113" t="s">
        <v>1063</v>
      </c>
      <c r="D113" t="s">
        <v>1064</v>
      </c>
      <c r="E113">
        <v>303</v>
      </c>
      <c r="F113">
        <v>25.08</v>
      </c>
      <c r="G113">
        <v>401</v>
      </c>
      <c r="H113">
        <v>244</v>
      </c>
      <c r="I113">
        <v>28.9331967213115</v>
      </c>
      <c r="J113">
        <v>1.4459895558293701</v>
      </c>
      <c r="K113">
        <v>209.54508196721301</v>
      </c>
      <c r="L113" t="s">
        <v>760</v>
      </c>
      <c r="M113" t="s">
        <v>1355</v>
      </c>
      <c r="O113" t="s">
        <v>800</v>
      </c>
      <c r="P113">
        <v>1</v>
      </c>
      <c r="R113">
        <f t="shared" si="4"/>
        <v>1</v>
      </c>
    </row>
    <row r="114" spans="1:18" hidden="1" x14ac:dyDescent="0.2">
      <c r="A114">
        <v>61</v>
      </c>
      <c r="B114" t="s">
        <v>1150</v>
      </c>
      <c r="C114" t="s">
        <v>1063</v>
      </c>
      <c r="D114" t="s">
        <v>1064</v>
      </c>
      <c r="E114">
        <v>282</v>
      </c>
      <c r="F114">
        <v>22.7</v>
      </c>
      <c r="G114">
        <v>401</v>
      </c>
      <c r="H114">
        <v>244</v>
      </c>
      <c r="I114">
        <v>28.9331967213115</v>
      </c>
      <c r="J114">
        <v>1.3457724579006001</v>
      </c>
      <c r="K114">
        <v>209.54508196721301</v>
      </c>
      <c r="L114" t="s">
        <v>760</v>
      </c>
      <c r="M114" t="s">
        <v>1355</v>
      </c>
      <c r="O114" t="s">
        <v>800</v>
      </c>
      <c r="P114">
        <v>1</v>
      </c>
      <c r="R114">
        <f t="shared" si="4"/>
        <v>1</v>
      </c>
    </row>
    <row r="115" spans="1:18" hidden="1" x14ac:dyDescent="0.2">
      <c r="A115">
        <v>98</v>
      </c>
      <c r="B115" t="s">
        <v>1205</v>
      </c>
      <c r="C115" t="s">
        <v>1063</v>
      </c>
      <c r="D115" t="s">
        <v>1064</v>
      </c>
      <c r="E115">
        <v>327</v>
      </c>
      <c r="F115">
        <v>25.99</v>
      </c>
      <c r="G115">
        <v>401</v>
      </c>
      <c r="H115">
        <v>244</v>
      </c>
      <c r="I115">
        <v>28.9331967213115</v>
      </c>
      <c r="J115">
        <v>1.5605233820336799</v>
      </c>
      <c r="K115">
        <v>209.54508196721301</v>
      </c>
      <c r="L115" t="s">
        <v>760</v>
      </c>
      <c r="M115" t="s">
        <v>1355</v>
      </c>
      <c r="O115" t="s">
        <v>800</v>
      </c>
      <c r="P115">
        <v>1</v>
      </c>
      <c r="R115">
        <f t="shared" si="4"/>
        <v>1</v>
      </c>
    </row>
    <row r="116" spans="1:18" hidden="1" x14ac:dyDescent="0.2">
      <c r="A116">
        <v>153</v>
      </c>
      <c r="B116" t="s">
        <v>1291</v>
      </c>
      <c r="C116" t="s">
        <v>1063</v>
      </c>
      <c r="D116" t="s">
        <v>1064</v>
      </c>
      <c r="E116">
        <v>294</v>
      </c>
      <c r="F116">
        <v>27.55</v>
      </c>
      <c r="G116">
        <v>401</v>
      </c>
      <c r="H116">
        <v>244</v>
      </c>
      <c r="I116">
        <v>28.9331967213115</v>
      </c>
      <c r="J116">
        <v>1.40303937100276</v>
      </c>
      <c r="K116">
        <v>209.54508196721301</v>
      </c>
      <c r="L116" t="s">
        <v>760</v>
      </c>
      <c r="M116" t="s">
        <v>1355</v>
      </c>
      <c r="O116" t="s">
        <v>800</v>
      </c>
      <c r="P116">
        <v>1</v>
      </c>
      <c r="R116">
        <f t="shared" si="4"/>
        <v>1</v>
      </c>
    </row>
    <row r="117" spans="1:18" hidden="1" x14ac:dyDescent="0.2">
      <c r="A117">
        <v>154</v>
      </c>
      <c r="B117" t="s">
        <v>1292</v>
      </c>
      <c r="C117" t="s">
        <v>1063</v>
      </c>
      <c r="D117" t="s">
        <v>1064</v>
      </c>
      <c r="E117">
        <v>294</v>
      </c>
      <c r="F117">
        <v>27.55</v>
      </c>
      <c r="G117">
        <v>401</v>
      </c>
      <c r="H117">
        <v>244</v>
      </c>
      <c r="I117">
        <v>28.9331967213115</v>
      </c>
      <c r="J117">
        <v>1.40303937100276</v>
      </c>
      <c r="K117">
        <v>209.54508196721301</v>
      </c>
      <c r="L117" t="s">
        <v>760</v>
      </c>
      <c r="M117" t="s">
        <v>1355</v>
      </c>
      <c r="O117" t="s">
        <v>800</v>
      </c>
      <c r="P117">
        <v>1</v>
      </c>
      <c r="R117">
        <f t="shared" si="4"/>
        <v>1</v>
      </c>
    </row>
    <row r="118" spans="1:18" x14ac:dyDescent="0.2">
      <c r="A118">
        <v>71</v>
      </c>
      <c r="B118" t="s">
        <v>1160</v>
      </c>
      <c r="C118" t="s">
        <v>1161</v>
      </c>
      <c r="D118" t="s">
        <v>1163</v>
      </c>
      <c r="E118">
        <v>1149</v>
      </c>
      <c r="F118">
        <v>29.94</v>
      </c>
      <c r="G118">
        <v>426</v>
      </c>
      <c r="H118">
        <v>243</v>
      </c>
      <c r="I118">
        <v>25.120288065843599</v>
      </c>
      <c r="J118">
        <v>3.4625172067413201</v>
      </c>
      <c r="K118">
        <v>331.83950617284</v>
      </c>
      <c r="L118" t="s">
        <v>1164</v>
      </c>
      <c r="M118" t="s">
        <v>1348</v>
      </c>
      <c r="O118" t="s">
        <v>1162</v>
      </c>
      <c r="R118">
        <f t="shared" si="4"/>
        <v>0</v>
      </c>
    </row>
    <row r="119" spans="1:18" x14ac:dyDescent="0.2">
      <c r="A119">
        <v>106</v>
      </c>
      <c r="B119" t="s">
        <v>1218</v>
      </c>
      <c r="C119" t="s">
        <v>1161</v>
      </c>
      <c r="D119" t="s">
        <v>1163</v>
      </c>
      <c r="E119">
        <v>1062</v>
      </c>
      <c r="F119">
        <v>26.74</v>
      </c>
      <c r="G119">
        <v>426</v>
      </c>
      <c r="H119">
        <v>243</v>
      </c>
      <c r="I119">
        <v>25.120288065843599</v>
      </c>
      <c r="J119">
        <v>3.20034227463819</v>
      </c>
      <c r="K119">
        <v>331.83950617284</v>
      </c>
      <c r="L119" t="s">
        <v>1164</v>
      </c>
      <c r="M119" t="s">
        <v>1348</v>
      </c>
      <c r="O119" t="s">
        <v>1162</v>
      </c>
      <c r="R119">
        <f t="shared" si="4"/>
        <v>0</v>
      </c>
    </row>
    <row r="120" spans="1:18" x14ac:dyDescent="0.2">
      <c r="A120">
        <v>113</v>
      </c>
      <c r="B120" t="s">
        <v>1230</v>
      </c>
      <c r="C120" t="s">
        <v>1161</v>
      </c>
      <c r="D120" t="s">
        <v>1163</v>
      </c>
      <c r="E120">
        <v>1218</v>
      </c>
      <c r="F120">
        <v>24.79</v>
      </c>
      <c r="G120">
        <v>426</v>
      </c>
      <c r="H120">
        <v>243</v>
      </c>
      <c r="I120">
        <v>25.120288065843599</v>
      </c>
      <c r="J120">
        <v>3.6704490494437998</v>
      </c>
      <c r="K120">
        <v>331.83950617284</v>
      </c>
      <c r="L120" t="s">
        <v>1164</v>
      </c>
      <c r="M120" t="s">
        <v>1348</v>
      </c>
      <c r="O120" t="s">
        <v>1162</v>
      </c>
      <c r="R120">
        <f t="shared" si="4"/>
        <v>0</v>
      </c>
    </row>
    <row r="121" spans="1:18" x14ac:dyDescent="0.2">
      <c r="A121">
        <v>131</v>
      </c>
      <c r="B121" t="s">
        <v>1256</v>
      </c>
      <c r="C121" t="s">
        <v>1161</v>
      </c>
      <c r="D121" t="s">
        <v>1163</v>
      </c>
      <c r="E121">
        <v>654</v>
      </c>
      <c r="F121">
        <v>24.77</v>
      </c>
      <c r="G121">
        <v>426</v>
      </c>
      <c r="H121">
        <v>243</v>
      </c>
      <c r="I121">
        <v>25.120288065843599</v>
      </c>
      <c r="J121">
        <v>1.9708322482235201</v>
      </c>
      <c r="K121">
        <v>331.83950617284</v>
      </c>
      <c r="L121" t="s">
        <v>1164</v>
      </c>
      <c r="M121" t="s">
        <v>1348</v>
      </c>
      <c r="O121" t="s">
        <v>1162</v>
      </c>
      <c r="R121">
        <f t="shared" si="4"/>
        <v>0</v>
      </c>
    </row>
    <row r="122" spans="1:18" x14ac:dyDescent="0.2">
      <c r="A122">
        <v>140</v>
      </c>
      <c r="B122" t="s">
        <v>1271</v>
      </c>
      <c r="C122" t="s">
        <v>1161</v>
      </c>
      <c r="D122" t="s">
        <v>1163</v>
      </c>
      <c r="E122">
        <v>489</v>
      </c>
      <c r="F122">
        <v>19.22</v>
      </c>
      <c r="G122">
        <v>426</v>
      </c>
      <c r="H122">
        <v>243</v>
      </c>
      <c r="I122">
        <v>25.120288065843599</v>
      </c>
      <c r="J122">
        <v>1.4736039287175899</v>
      </c>
      <c r="K122">
        <v>331.83950617284</v>
      </c>
      <c r="L122" t="s">
        <v>1164</v>
      </c>
      <c r="M122" t="s">
        <v>1348</v>
      </c>
      <c r="O122" t="s">
        <v>1162</v>
      </c>
      <c r="R122">
        <f t="shared" si="4"/>
        <v>0</v>
      </c>
    </row>
    <row r="123" spans="1:18" x14ac:dyDescent="0.2">
      <c r="A123">
        <v>147</v>
      </c>
      <c r="B123" t="s">
        <v>1283</v>
      </c>
      <c r="C123" t="s">
        <v>1161</v>
      </c>
      <c r="D123" t="s">
        <v>1163</v>
      </c>
      <c r="E123">
        <v>822</v>
      </c>
      <c r="F123">
        <v>25.06</v>
      </c>
      <c r="G123">
        <v>426</v>
      </c>
      <c r="H123">
        <v>243</v>
      </c>
      <c r="I123">
        <v>25.120288065843599</v>
      </c>
      <c r="J123">
        <v>2.4771010826295599</v>
      </c>
      <c r="K123">
        <v>331.83950617284</v>
      </c>
      <c r="L123" t="s">
        <v>1164</v>
      </c>
      <c r="M123" t="s">
        <v>1348</v>
      </c>
      <c r="O123" t="s">
        <v>1162</v>
      </c>
      <c r="R123">
        <f t="shared" si="4"/>
        <v>0</v>
      </c>
    </row>
    <row r="124" spans="1:18" hidden="1" x14ac:dyDescent="0.2">
      <c r="A124">
        <v>104</v>
      </c>
      <c r="B124" t="s">
        <v>1214</v>
      </c>
      <c r="C124" t="s">
        <v>1215</v>
      </c>
      <c r="D124" t="s">
        <v>1216</v>
      </c>
      <c r="E124">
        <v>846</v>
      </c>
      <c r="F124">
        <v>18.559999999999999</v>
      </c>
      <c r="G124">
        <v>437</v>
      </c>
      <c r="H124">
        <v>242</v>
      </c>
      <c r="I124">
        <v>24.003595041322299</v>
      </c>
      <c r="J124">
        <v>1.4411149825784</v>
      </c>
      <c r="K124">
        <v>587.04545454545496</v>
      </c>
      <c r="L124" t="s">
        <v>763</v>
      </c>
      <c r="M124" t="s">
        <v>1378</v>
      </c>
      <c r="N124" t="s">
        <v>1379</v>
      </c>
      <c r="O124" t="s">
        <v>811</v>
      </c>
      <c r="Q124">
        <v>1</v>
      </c>
      <c r="R124">
        <f t="shared" si="4"/>
        <v>1</v>
      </c>
    </row>
    <row r="125" spans="1:18" x14ac:dyDescent="0.2">
      <c r="A125">
        <v>6</v>
      </c>
      <c r="B125" t="s">
        <v>1070</v>
      </c>
      <c r="C125" t="s">
        <v>1071</v>
      </c>
      <c r="D125" t="s">
        <v>1072</v>
      </c>
      <c r="E125">
        <v>492</v>
      </c>
      <c r="F125">
        <v>17.48</v>
      </c>
      <c r="G125">
        <v>443</v>
      </c>
      <c r="H125">
        <v>241</v>
      </c>
      <c r="I125">
        <v>22.2395435684647</v>
      </c>
      <c r="J125">
        <v>1.9566336633663399</v>
      </c>
      <c r="K125">
        <v>251.452282157676</v>
      </c>
      <c r="L125" t="s">
        <v>1073</v>
      </c>
      <c r="M125" t="s">
        <v>1348</v>
      </c>
      <c r="O125" t="s">
        <v>814</v>
      </c>
      <c r="R125">
        <f t="shared" si="4"/>
        <v>0</v>
      </c>
    </row>
    <row r="126" spans="1:18" x14ac:dyDescent="0.2">
      <c r="A126">
        <v>11</v>
      </c>
      <c r="B126" t="s">
        <v>1083</v>
      </c>
      <c r="C126" t="s">
        <v>1071</v>
      </c>
      <c r="D126" t="s">
        <v>1072</v>
      </c>
      <c r="E126">
        <v>417</v>
      </c>
      <c r="F126">
        <v>20.38</v>
      </c>
      <c r="G126">
        <v>443</v>
      </c>
      <c r="H126">
        <v>241</v>
      </c>
      <c r="I126">
        <v>22.2395435684647</v>
      </c>
      <c r="J126">
        <v>1.6583663366336601</v>
      </c>
      <c r="K126">
        <v>251.452282157676</v>
      </c>
      <c r="L126" t="s">
        <v>1073</v>
      </c>
      <c r="M126" t="s">
        <v>1348</v>
      </c>
      <c r="O126" t="s">
        <v>814</v>
      </c>
      <c r="R126">
        <f t="shared" si="4"/>
        <v>0</v>
      </c>
    </row>
    <row r="127" spans="1:18" x14ac:dyDescent="0.2">
      <c r="A127">
        <v>16</v>
      </c>
      <c r="B127" t="s">
        <v>1096</v>
      </c>
      <c r="C127" t="s">
        <v>1071</v>
      </c>
      <c r="D127" t="s">
        <v>1072</v>
      </c>
      <c r="E127">
        <v>438</v>
      </c>
      <c r="F127">
        <v>21.69</v>
      </c>
      <c r="G127">
        <v>443</v>
      </c>
      <c r="H127">
        <v>241</v>
      </c>
      <c r="I127">
        <v>22.2395435684647</v>
      </c>
      <c r="J127">
        <v>1.7418811881188101</v>
      </c>
      <c r="K127">
        <v>251.452282157676</v>
      </c>
      <c r="L127" t="s">
        <v>1073</v>
      </c>
      <c r="M127" t="s">
        <v>1348</v>
      </c>
      <c r="O127" t="s">
        <v>814</v>
      </c>
      <c r="R127">
        <f t="shared" si="4"/>
        <v>0</v>
      </c>
    </row>
    <row r="128" spans="1:18" x14ac:dyDescent="0.2">
      <c r="A128">
        <v>18</v>
      </c>
      <c r="B128" t="s">
        <v>1098</v>
      </c>
      <c r="C128" t="s">
        <v>1071</v>
      </c>
      <c r="D128" t="s">
        <v>1072</v>
      </c>
      <c r="E128">
        <v>393</v>
      </c>
      <c r="F128">
        <v>19.850000000000001</v>
      </c>
      <c r="G128">
        <v>443</v>
      </c>
      <c r="H128">
        <v>241</v>
      </c>
      <c r="I128">
        <v>22.2395435684647</v>
      </c>
      <c r="J128">
        <v>1.5629207920792101</v>
      </c>
      <c r="K128">
        <v>251.452282157676</v>
      </c>
      <c r="L128" t="s">
        <v>1073</v>
      </c>
      <c r="M128" t="s">
        <v>1348</v>
      </c>
      <c r="O128" t="s">
        <v>814</v>
      </c>
      <c r="R128">
        <f t="shared" si="4"/>
        <v>0</v>
      </c>
    </row>
    <row r="129" spans="1:18" x14ac:dyDescent="0.2">
      <c r="A129">
        <v>45</v>
      </c>
      <c r="B129" t="s">
        <v>1133</v>
      </c>
      <c r="C129" t="s">
        <v>1071</v>
      </c>
      <c r="D129" t="s">
        <v>1072</v>
      </c>
      <c r="E129">
        <v>570</v>
      </c>
      <c r="F129">
        <v>19.649999999999999</v>
      </c>
      <c r="G129">
        <v>443</v>
      </c>
      <c r="H129">
        <v>241</v>
      </c>
      <c r="I129">
        <v>22.2395435684647</v>
      </c>
      <c r="J129">
        <v>2.26683168316832</v>
      </c>
      <c r="K129">
        <v>251.452282157676</v>
      </c>
      <c r="L129" t="s">
        <v>1073</v>
      </c>
      <c r="M129" t="s">
        <v>1348</v>
      </c>
      <c r="O129" t="s">
        <v>814</v>
      </c>
      <c r="R129">
        <f t="shared" si="4"/>
        <v>0</v>
      </c>
    </row>
    <row r="130" spans="1:18" x14ac:dyDescent="0.2">
      <c r="A130">
        <v>55</v>
      </c>
      <c r="B130" t="s">
        <v>1144</v>
      </c>
      <c r="C130" t="s">
        <v>1071</v>
      </c>
      <c r="D130" t="s">
        <v>1072</v>
      </c>
      <c r="E130">
        <v>432</v>
      </c>
      <c r="F130">
        <v>19.91</v>
      </c>
      <c r="G130">
        <v>443</v>
      </c>
      <c r="H130">
        <v>241</v>
      </c>
      <c r="I130">
        <v>22.2395435684647</v>
      </c>
      <c r="J130">
        <v>1.7180198019802</v>
      </c>
      <c r="K130">
        <v>251.452282157676</v>
      </c>
      <c r="L130" t="s">
        <v>1073</v>
      </c>
      <c r="M130" t="s">
        <v>1348</v>
      </c>
      <c r="O130" t="s">
        <v>814</v>
      </c>
      <c r="R130">
        <f t="shared" si="4"/>
        <v>0</v>
      </c>
    </row>
    <row r="131" spans="1:18" x14ac:dyDescent="0.2">
      <c r="A131">
        <v>64</v>
      </c>
      <c r="B131" t="s">
        <v>1153</v>
      </c>
      <c r="C131" t="s">
        <v>1071</v>
      </c>
      <c r="D131" t="s">
        <v>1072</v>
      </c>
      <c r="E131">
        <v>495</v>
      </c>
      <c r="F131">
        <v>16.77</v>
      </c>
      <c r="G131">
        <v>443</v>
      </c>
      <c r="H131">
        <v>241</v>
      </c>
      <c r="I131">
        <v>22.2395435684647</v>
      </c>
      <c r="J131">
        <v>1.9685643564356401</v>
      </c>
      <c r="K131">
        <v>251.452282157676</v>
      </c>
      <c r="L131" t="s">
        <v>1073</v>
      </c>
      <c r="M131" t="s">
        <v>1348</v>
      </c>
      <c r="O131" t="s">
        <v>814</v>
      </c>
      <c r="R131">
        <f t="shared" si="4"/>
        <v>0</v>
      </c>
    </row>
    <row r="132" spans="1:18" x14ac:dyDescent="0.2">
      <c r="A132">
        <v>74</v>
      </c>
      <c r="B132" t="s">
        <v>1170</v>
      </c>
      <c r="C132" t="s">
        <v>1071</v>
      </c>
      <c r="D132" t="s">
        <v>1072</v>
      </c>
      <c r="E132">
        <v>468</v>
      </c>
      <c r="F132">
        <v>17.739999999999998</v>
      </c>
      <c r="G132">
        <v>443</v>
      </c>
      <c r="H132">
        <v>241</v>
      </c>
      <c r="I132">
        <v>22.2395435684647</v>
      </c>
      <c r="J132">
        <v>1.86118811881188</v>
      </c>
      <c r="K132">
        <v>251.452282157676</v>
      </c>
      <c r="L132" t="s">
        <v>1073</v>
      </c>
      <c r="M132" t="s">
        <v>1348</v>
      </c>
      <c r="O132" t="s">
        <v>814</v>
      </c>
      <c r="R132">
        <f t="shared" si="4"/>
        <v>0</v>
      </c>
    </row>
    <row r="133" spans="1:18" x14ac:dyDescent="0.2">
      <c r="A133">
        <v>78</v>
      </c>
      <c r="B133" t="s">
        <v>1174</v>
      </c>
      <c r="C133" t="s">
        <v>1071</v>
      </c>
      <c r="D133" t="s">
        <v>1072</v>
      </c>
      <c r="E133">
        <v>582</v>
      </c>
      <c r="F133">
        <v>20.100000000000001</v>
      </c>
      <c r="G133">
        <v>443</v>
      </c>
      <c r="H133">
        <v>241</v>
      </c>
      <c r="I133">
        <v>22.2395435684647</v>
      </c>
      <c r="J133">
        <v>2.3145544554455402</v>
      </c>
      <c r="K133">
        <v>251.452282157676</v>
      </c>
      <c r="L133" t="s">
        <v>1073</v>
      </c>
      <c r="M133" t="s">
        <v>1348</v>
      </c>
      <c r="O133" t="s">
        <v>814</v>
      </c>
      <c r="R133">
        <f t="shared" si="4"/>
        <v>0</v>
      </c>
    </row>
    <row r="134" spans="1:18" x14ac:dyDescent="0.2">
      <c r="A134">
        <v>114</v>
      </c>
      <c r="B134" t="s">
        <v>1231</v>
      </c>
      <c r="C134" t="s">
        <v>1071</v>
      </c>
      <c r="D134" t="s">
        <v>1072</v>
      </c>
      <c r="E134">
        <v>474</v>
      </c>
      <c r="F134">
        <v>20.46</v>
      </c>
      <c r="G134">
        <v>443</v>
      </c>
      <c r="H134">
        <v>241</v>
      </c>
      <c r="I134">
        <v>22.2395435684647</v>
      </c>
      <c r="J134">
        <v>1.8850495049505001</v>
      </c>
      <c r="K134">
        <v>251.452282157676</v>
      </c>
      <c r="L134" t="s">
        <v>1073</v>
      </c>
      <c r="M134" t="s">
        <v>1348</v>
      </c>
      <c r="O134" t="s">
        <v>814</v>
      </c>
      <c r="R134">
        <f t="shared" si="4"/>
        <v>0</v>
      </c>
    </row>
    <row r="135" spans="1:18" x14ac:dyDescent="0.2">
      <c r="A135">
        <v>150</v>
      </c>
      <c r="B135" t="s">
        <v>1288</v>
      </c>
      <c r="C135" t="s">
        <v>1071</v>
      </c>
      <c r="D135" t="s">
        <v>1072</v>
      </c>
      <c r="E135">
        <v>486</v>
      </c>
      <c r="F135">
        <v>21.19</v>
      </c>
      <c r="G135">
        <v>443</v>
      </c>
      <c r="H135">
        <v>241</v>
      </c>
      <c r="I135">
        <v>22.2395435684647</v>
      </c>
      <c r="J135">
        <v>1.93277227722772</v>
      </c>
      <c r="K135">
        <v>251.452282157676</v>
      </c>
      <c r="L135" t="s">
        <v>1073</v>
      </c>
      <c r="M135" t="s">
        <v>1348</v>
      </c>
      <c r="O135" t="s">
        <v>814</v>
      </c>
      <c r="R135">
        <f t="shared" si="4"/>
        <v>0</v>
      </c>
    </row>
    <row r="136" spans="1:18" x14ac:dyDescent="0.2">
      <c r="A136">
        <v>159</v>
      </c>
      <c r="B136" t="s">
        <v>1297</v>
      </c>
      <c r="C136" t="s">
        <v>1071</v>
      </c>
      <c r="D136" t="s">
        <v>1072</v>
      </c>
      <c r="E136">
        <v>453</v>
      </c>
      <c r="F136">
        <v>12.8</v>
      </c>
      <c r="G136">
        <v>443</v>
      </c>
      <c r="H136">
        <v>241</v>
      </c>
      <c r="I136">
        <v>22.2395435684647</v>
      </c>
      <c r="J136">
        <v>1.80153465346535</v>
      </c>
      <c r="K136">
        <v>251.452282157676</v>
      </c>
      <c r="L136" t="s">
        <v>1073</v>
      </c>
      <c r="M136" t="s">
        <v>1348</v>
      </c>
      <c r="O136" t="s">
        <v>814</v>
      </c>
      <c r="R136">
        <f t="shared" si="4"/>
        <v>0</v>
      </c>
    </row>
    <row r="137" spans="1:18" x14ac:dyDescent="0.2">
      <c r="A137">
        <v>160</v>
      </c>
      <c r="B137" t="s">
        <v>1298</v>
      </c>
      <c r="C137" t="s">
        <v>1071</v>
      </c>
      <c r="D137" t="s">
        <v>1072</v>
      </c>
      <c r="E137">
        <v>333</v>
      </c>
      <c r="F137">
        <v>15.02</v>
      </c>
      <c r="G137">
        <v>443</v>
      </c>
      <c r="H137">
        <v>241</v>
      </c>
      <c r="I137">
        <v>22.2395435684647</v>
      </c>
      <c r="J137">
        <v>1.3243069306930699</v>
      </c>
      <c r="K137">
        <v>251.452282157676</v>
      </c>
      <c r="L137" t="s">
        <v>1073</v>
      </c>
      <c r="M137" t="s">
        <v>1348</v>
      </c>
      <c r="O137" t="s">
        <v>814</v>
      </c>
      <c r="R137">
        <f t="shared" si="4"/>
        <v>0</v>
      </c>
    </row>
    <row r="138" spans="1:18" x14ac:dyDescent="0.2">
      <c r="A138">
        <v>163</v>
      </c>
      <c r="B138" t="s">
        <v>1301</v>
      </c>
      <c r="C138" t="s">
        <v>1071</v>
      </c>
      <c r="D138" t="s">
        <v>1072</v>
      </c>
      <c r="E138">
        <v>381</v>
      </c>
      <c r="F138">
        <v>14.96</v>
      </c>
      <c r="G138">
        <v>443</v>
      </c>
      <c r="H138">
        <v>241</v>
      </c>
      <c r="I138">
        <v>22.2395435684647</v>
      </c>
      <c r="J138">
        <v>1.5151980198019801</v>
      </c>
      <c r="K138">
        <v>251.452282157676</v>
      </c>
      <c r="L138" t="s">
        <v>1073</v>
      </c>
      <c r="M138" t="s">
        <v>1348</v>
      </c>
      <c r="O138" t="s">
        <v>814</v>
      </c>
      <c r="R138">
        <f t="shared" si="4"/>
        <v>0</v>
      </c>
    </row>
    <row r="139" spans="1:18" x14ac:dyDescent="0.2">
      <c r="A139">
        <v>164</v>
      </c>
      <c r="B139" t="s">
        <v>1302</v>
      </c>
      <c r="C139" t="s">
        <v>1071</v>
      </c>
      <c r="D139" t="s">
        <v>1072</v>
      </c>
      <c r="E139">
        <v>366</v>
      </c>
      <c r="F139">
        <v>17.760000000000002</v>
      </c>
      <c r="G139">
        <v>443</v>
      </c>
      <c r="H139">
        <v>241</v>
      </c>
      <c r="I139">
        <v>22.2395435684647</v>
      </c>
      <c r="J139">
        <v>1.4555445544554499</v>
      </c>
      <c r="K139">
        <v>251.452282157676</v>
      </c>
      <c r="L139" t="s">
        <v>1073</v>
      </c>
      <c r="M139" t="s">
        <v>1348</v>
      </c>
      <c r="O139" t="s">
        <v>814</v>
      </c>
      <c r="R139">
        <f t="shared" ref="R139:R170" si="5">P139+Q139</f>
        <v>0</v>
      </c>
    </row>
    <row r="140" spans="1:18" x14ac:dyDescent="0.2">
      <c r="A140">
        <v>2</v>
      </c>
      <c r="B140" t="s">
        <v>1059</v>
      </c>
      <c r="C140" t="s">
        <v>1060</v>
      </c>
      <c r="D140" t="s">
        <v>819</v>
      </c>
      <c r="E140">
        <v>1590</v>
      </c>
      <c r="F140">
        <v>37.74</v>
      </c>
      <c r="G140">
        <v>475</v>
      </c>
      <c r="H140">
        <v>235</v>
      </c>
      <c r="I140">
        <v>23.715659574468098</v>
      </c>
      <c r="J140">
        <v>1.6047569350495401</v>
      </c>
      <c r="K140">
        <v>990.80425531914898</v>
      </c>
      <c r="L140" t="s">
        <v>767</v>
      </c>
      <c r="M140" t="s">
        <v>1348</v>
      </c>
      <c r="O140" t="s">
        <v>1061</v>
      </c>
      <c r="R140">
        <f t="shared" si="5"/>
        <v>0</v>
      </c>
    </row>
    <row r="141" spans="1:18" x14ac:dyDescent="0.2">
      <c r="A141">
        <v>8</v>
      </c>
      <c r="B141" t="s">
        <v>1077</v>
      </c>
      <c r="C141" t="s">
        <v>1060</v>
      </c>
      <c r="D141" t="s">
        <v>819</v>
      </c>
      <c r="E141">
        <v>1860</v>
      </c>
      <c r="F141">
        <v>23.33</v>
      </c>
      <c r="G141">
        <v>475</v>
      </c>
      <c r="H141">
        <v>235</v>
      </c>
      <c r="I141">
        <v>23.715659574468098</v>
      </c>
      <c r="J141">
        <v>1.87726282968059</v>
      </c>
      <c r="K141">
        <v>990.80425531914898</v>
      </c>
      <c r="L141" t="s">
        <v>767</v>
      </c>
      <c r="M141" t="s">
        <v>1348</v>
      </c>
      <c r="O141" t="s">
        <v>1061</v>
      </c>
      <c r="R141">
        <f t="shared" si="5"/>
        <v>0</v>
      </c>
    </row>
    <row r="142" spans="1:18" x14ac:dyDescent="0.2">
      <c r="A142">
        <v>24</v>
      </c>
      <c r="B142" t="s">
        <v>1106</v>
      </c>
      <c r="C142" t="s">
        <v>1060</v>
      </c>
      <c r="D142" t="s">
        <v>819</v>
      </c>
      <c r="E142">
        <v>2088</v>
      </c>
      <c r="F142">
        <v>34.1</v>
      </c>
      <c r="G142">
        <v>475</v>
      </c>
      <c r="H142">
        <v>235</v>
      </c>
      <c r="I142">
        <v>23.715659574468098</v>
      </c>
      <c r="J142">
        <v>2.1073789184801499</v>
      </c>
      <c r="K142">
        <v>990.80425531914898</v>
      </c>
      <c r="L142" t="s">
        <v>767</v>
      </c>
      <c r="M142" t="s">
        <v>1348</v>
      </c>
      <c r="O142" t="s">
        <v>1061</v>
      </c>
      <c r="R142">
        <f t="shared" si="5"/>
        <v>0</v>
      </c>
    </row>
    <row r="143" spans="1:18" x14ac:dyDescent="0.2">
      <c r="A143">
        <v>27</v>
      </c>
      <c r="B143" t="s">
        <v>1112</v>
      </c>
      <c r="C143" t="s">
        <v>1060</v>
      </c>
      <c r="D143" t="s">
        <v>819</v>
      </c>
      <c r="E143">
        <v>1788</v>
      </c>
      <c r="F143">
        <v>23.99</v>
      </c>
      <c r="G143">
        <v>475</v>
      </c>
      <c r="H143">
        <v>235</v>
      </c>
      <c r="I143">
        <v>23.715659574468098</v>
      </c>
      <c r="J143">
        <v>1.80459459111231</v>
      </c>
      <c r="K143">
        <v>990.80425531914898</v>
      </c>
      <c r="L143" t="s">
        <v>767</v>
      </c>
      <c r="M143" t="s">
        <v>1348</v>
      </c>
      <c r="O143" t="s">
        <v>1061</v>
      </c>
      <c r="R143">
        <f t="shared" si="5"/>
        <v>0</v>
      </c>
    </row>
    <row r="144" spans="1:18" x14ac:dyDescent="0.2">
      <c r="A144">
        <v>31</v>
      </c>
      <c r="B144" t="s">
        <v>1116</v>
      </c>
      <c r="C144" t="s">
        <v>1060</v>
      </c>
      <c r="D144" t="s">
        <v>819</v>
      </c>
      <c r="E144">
        <v>1779</v>
      </c>
      <c r="F144">
        <v>30.64</v>
      </c>
      <c r="G144">
        <v>475</v>
      </c>
      <c r="H144">
        <v>235</v>
      </c>
      <c r="I144">
        <v>23.715659574468098</v>
      </c>
      <c r="J144">
        <v>1.7955110612912799</v>
      </c>
      <c r="K144">
        <v>990.80425531914898</v>
      </c>
      <c r="L144" t="s">
        <v>767</v>
      </c>
      <c r="M144" t="s">
        <v>1348</v>
      </c>
      <c r="O144" t="s">
        <v>1061</v>
      </c>
      <c r="R144">
        <f t="shared" si="5"/>
        <v>0</v>
      </c>
    </row>
    <row r="145" spans="1:18" x14ac:dyDescent="0.2">
      <c r="A145">
        <v>33</v>
      </c>
      <c r="B145" t="s">
        <v>1118</v>
      </c>
      <c r="C145" t="s">
        <v>1060</v>
      </c>
      <c r="D145" t="s">
        <v>819</v>
      </c>
      <c r="E145">
        <v>1527</v>
      </c>
      <c r="F145">
        <v>33.729999999999997</v>
      </c>
      <c r="G145">
        <v>475</v>
      </c>
      <c r="H145">
        <v>235</v>
      </c>
      <c r="I145">
        <v>23.715659574468098</v>
      </c>
      <c r="J145">
        <v>1.54117222630229</v>
      </c>
      <c r="K145">
        <v>990.80425531914898</v>
      </c>
      <c r="L145" t="s">
        <v>767</v>
      </c>
      <c r="M145" t="s">
        <v>1348</v>
      </c>
      <c r="O145" t="s">
        <v>1061</v>
      </c>
      <c r="R145">
        <f t="shared" si="5"/>
        <v>0</v>
      </c>
    </row>
    <row r="146" spans="1:18" x14ac:dyDescent="0.2">
      <c r="A146">
        <v>40</v>
      </c>
      <c r="B146" t="s">
        <v>1126</v>
      </c>
      <c r="C146" t="s">
        <v>1060</v>
      </c>
      <c r="D146" t="s">
        <v>819</v>
      </c>
      <c r="E146">
        <v>2010</v>
      </c>
      <c r="F146">
        <v>22.59</v>
      </c>
      <c r="G146">
        <v>475</v>
      </c>
      <c r="H146">
        <v>235</v>
      </c>
      <c r="I146">
        <v>23.715659574468098</v>
      </c>
      <c r="J146">
        <v>2.0286549933645102</v>
      </c>
      <c r="K146">
        <v>990.80425531914898</v>
      </c>
      <c r="L146" t="s">
        <v>767</v>
      </c>
      <c r="M146" t="s">
        <v>1348</v>
      </c>
      <c r="O146" t="s">
        <v>1061</v>
      </c>
      <c r="R146">
        <f t="shared" si="5"/>
        <v>0</v>
      </c>
    </row>
    <row r="147" spans="1:18" x14ac:dyDescent="0.2">
      <c r="A147">
        <v>42</v>
      </c>
      <c r="B147" t="s">
        <v>1128</v>
      </c>
      <c r="C147" t="s">
        <v>1060</v>
      </c>
      <c r="D147" t="s">
        <v>819</v>
      </c>
      <c r="E147">
        <v>1572</v>
      </c>
      <c r="F147">
        <v>36.770000000000003</v>
      </c>
      <c r="G147">
        <v>475</v>
      </c>
      <c r="H147">
        <v>235</v>
      </c>
      <c r="I147">
        <v>23.715659574468098</v>
      </c>
      <c r="J147">
        <v>1.5865898754074701</v>
      </c>
      <c r="K147">
        <v>990.80425531914898</v>
      </c>
      <c r="L147" t="s">
        <v>767</v>
      </c>
      <c r="M147" t="s">
        <v>1348</v>
      </c>
      <c r="O147" t="s">
        <v>1061</v>
      </c>
      <c r="R147">
        <f t="shared" si="5"/>
        <v>0</v>
      </c>
    </row>
    <row r="148" spans="1:18" x14ac:dyDescent="0.2">
      <c r="A148">
        <v>50</v>
      </c>
      <c r="B148" t="s">
        <v>1139</v>
      </c>
      <c r="C148" t="s">
        <v>1060</v>
      </c>
      <c r="D148" t="s">
        <v>819</v>
      </c>
      <c r="E148">
        <v>1653</v>
      </c>
      <c r="F148">
        <v>27.95</v>
      </c>
      <c r="G148">
        <v>475</v>
      </c>
      <c r="H148">
        <v>235</v>
      </c>
      <c r="I148">
        <v>23.715659574468098</v>
      </c>
      <c r="J148">
        <v>1.66834164379679</v>
      </c>
      <c r="K148">
        <v>990.80425531914898</v>
      </c>
      <c r="L148" t="s">
        <v>767</v>
      </c>
      <c r="M148" t="s">
        <v>1348</v>
      </c>
      <c r="O148" t="s">
        <v>1061</v>
      </c>
      <c r="R148">
        <f t="shared" si="5"/>
        <v>0</v>
      </c>
    </row>
    <row r="149" spans="1:18" x14ac:dyDescent="0.2">
      <c r="A149">
        <v>57</v>
      </c>
      <c r="B149" t="s">
        <v>1146</v>
      </c>
      <c r="C149" t="s">
        <v>1060</v>
      </c>
      <c r="D149" t="s">
        <v>819</v>
      </c>
      <c r="E149">
        <v>1752</v>
      </c>
      <c r="F149">
        <v>23.52</v>
      </c>
      <c r="G149">
        <v>475</v>
      </c>
      <c r="H149">
        <v>235</v>
      </c>
      <c r="I149">
        <v>23.715659574468098</v>
      </c>
      <c r="J149">
        <v>1.76826047182817</v>
      </c>
      <c r="K149">
        <v>990.80425531914898</v>
      </c>
      <c r="L149" t="s">
        <v>767</v>
      </c>
      <c r="M149" t="s">
        <v>1348</v>
      </c>
      <c r="O149" t="s">
        <v>1061</v>
      </c>
      <c r="R149">
        <f t="shared" si="5"/>
        <v>0</v>
      </c>
    </row>
    <row r="150" spans="1:18" x14ac:dyDescent="0.2">
      <c r="A150">
        <v>59</v>
      </c>
      <c r="B150" t="s">
        <v>1148</v>
      </c>
      <c r="C150" t="s">
        <v>1060</v>
      </c>
      <c r="D150" t="s">
        <v>819</v>
      </c>
      <c r="E150">
        <v>1569</v>
      </c>
      <c r="F150">
        <v>37.92</v>
      </c>
      <c r="G150">
        <v>475</v>
      </c>
      <c r="H150">
        <v>235</v>
      </c>
      <c r="I150">
        <v>23.715659574468098</v>
      </c>
      <c r="J150">
        <v>1.58356203213379</v>
      </c>
      <c r="K150">
        <v>990.80425531914898</v>
      </c>
      <c r="L150" t="s">
        <v>767</v>
      </c>
      <c r="M150" t="s">
        <v>1348</v>
      </c>
      <c r="O150" t="s">
        <v>1061</v>
      </c>
      <c r="R150">
        <f t="shared" si="5"/>
        <v>0</v>
      </c>
    </row>
    <row r="151" spans="1:18" x14ac:dyDescent="0.2">
      <c r="A151">
        <v>67</v>
      </c>
      <c r="B151" t="s">
        <v>1156</v>
      </c>
      <c r="C151" t="s">
        <v>1060</v>
      </c>
      <c r="D151" t="s">
        <v>819</v>
      </c>
      <c r="E151">
        <v>1518</v>
      </c>
      <c r="F151">
        <v>32.61</v>
      </c>
      <c r="G151">
        <v>475</v>
      </c>
      <c r="H151">
        <v>235</v>
      </c>
      <c r="I151">
        <v>23.715659574468098</v>
      </c>
      <c r="J151">
        <v>1.5320886964812599</v>
      </c>
      <c r="K151">
        <v>990.80425531914898</v>
      </c>
      <c r="L151" t="s">
        <v>767</v>
      </c>
      <c r="M151" t="s">
        <v>1348</v>
      </c>
      <c r="O151" t="s">
        <v>1061</v>
      </c>
      <c r="R151">
        <f t="shared" si="5"/>
        <v>0</v>
      </c>
    </row>
    <row r="152" spans="1:18" x14ac:dyDescent="0.2">
      <c r="A152">
        <v>70</v>
      </c>
      <c r="B152" t="s">
        <v>1159</v>
      </c>
      <c r="C152" t="s">
        <v>1060</v>
      </c>
      <c r="D152" t="s">
        <v>819</v>
      </c>
      <c r="E152">
        <v>1812</v>
      </c>
      <c r="F152">
        <v>29.19</v>
      </c>
      <c r="G152">
        <v>475</v>
      </c>
      <c r="H152">
        <v>235</v>
      </c>
      <c r="I152">
        <v>23.715659574468098</v>
      </c>
      <c r="J152">
        <v>1.82881733730174</v>
      </c>
      <c r="K152">
        <v>990.80425531914898</v>
      </c>
      <c r="L152" t="s">
        <v>767</v>
      </c>
      <c r="M152" t="s">
        <v>1348</v>
      </c>
      <c r="O152" t="s">
        <v>1061</v>
      </c>
      <c r="R152">
        <f t="shared" si="5"/>
        <v>0</v>
      </c>
    </row>
    <row r="153" spans="1:18" x14ac:dyDescent="0.2">
      <c r="A153">
        <v>80</v>
      </c>
      <c r="B153" t="s">
        <v>1176</v>
      </c>
      <c r="C153" t="s">
        <v>1060</v>
      </c>
      <c r="D153" t="s">
        <v>819</v>
      </c>
      <c r="E153">
        <v>1626</v>
      </c>
      <c r="F153">
        <v>17.59</v>
      </c>
      <c r="G153">
        <v>475</v>
      </c>
      <c r="H153">
        <v>235</v>
      </c>
      <c r="I153">
        <v>23.715659574468098</v>
      </c>
      <c r="J153">
        <v>1.6410910543336801</v>
      </c>
      <c r="K153">
        <v>990.80425531914898</v>
      </c>
      <c r="L153" t="s">
        <v>767</v>
      </c>
      <c r="M153" t="s">
        <v>1348</v>
      </c>
      <c r="O153" t="s">
        <v>1061</v>
      </c>
      <c r="R153">
        <f t="shared" si="5"/>
        <v>0</v>
      </c>
    </row>
    <row r="154" spans="1:18" x14ac:dyDescent="0.2">
      <c r="A154">
        <v>83</v>
      </c>
      <c r="B154" t="s">
        <v>1179</v>
      </c>
      <c r="C154" t="s">
        <v>1060</v>
      </c>
      <c r="D154" t="s">
        <v>819</v>
      </c>
      <c r="E154">
        <v>1476</v>
      </c>
      <c r="F154">
        <v>18.559999999999999</v>
      </c>
      <c r="G154">
        <v>475</v>
      </c>
      <c r="H154">
        <v>235</v>
      </c>
      <c r="I154">
        <v>23.715659574468098</v>
      </c>
      <c r="J154">
        <v>1.4896988906497599</v>
      </c>
      <c r="K154">
        <v>990.80425531914898</v>
      </c>
      <c r="L154" t="s">
        <v>767</v>
      </c>
      <c r="M154" t="s">
        <v>1348</v>
      </c>
      <c r="O154" t="s">
        <v>1061</v>
      </c>
      <c r="R154">
        <f t="shared" si="5"/>
        <v>0</v>
      </c>
    </row>
    <row r="155" spans="1:18" x14ac:dyDescent="0.2">
      <c r="A155">
        <v>87</v>
      </c>
      <c r="B155" t="s">
        <v>1189</v>
      </c>
      <c r="C155" t="s">
        <v>1060</v>
      </c>
      <c r="D155" t="s">
        <v>819</v>
      </c>
      <c r="E155">
        <v>1299</v>
      </c>
      <c r="F155">
        <v>22.25</v>
      </c>
      <c r="G155">
        <v>475</v>
      </c>
      <c r="H155">
        <v>235</v>
      </c>
      <c r="I155">
        <v>23.715659574468098</v>
      </c>
      <c r="J155">
        <v>1.3110561375027401</v>
      </c>
      <c r="K155">
        <v>990.80425531914898</v>
      </c>
      <c r="L155" t="s">
        <v>767</v>
      </c>
      <c r="M155" t="s">
        <v>1348</v>
      </c>
      <c r="O155" t="s">
        <v>1061</v>
      </c>
      <c r="R155">
        <f t="shared" si="5"/>
        <v>0</v>
      </c>
    </row>
    <row r="156" spans="1:18" x14ac:dyDescent="0.2">
      <c r="A156">
        <v>103</v>
      </c>
      <c r="B156" t="s">
        <v>1213</v>
      </c>
      <c r="C156" t="s">
        <v>1060</v>
      </c>
      <c r="D156" t="s">
        <v>819</v>
      </c>
      <c r="E156">
        <v>1293</v>
      </c>
      <c r="F156">
        <v>18.48</v>
      </c>
      <c r="G156">
        <v>475</v>
      </c>
      <c r="H156">
        <v>235</v>
      </c>
      <c r="I156">
        <v>23.715659574468098</v>
      </c>
      <c r="J156">
        <v>1.3050004509553801</v>
      </c>
      <c r="K156">
        <v>990.80425531914898</v>
      </c>
      <c r="L156" t="s">
        <v>767</v>
      </c>
      <c r="M156" t="s">
        <v>1348</v>
      </c>
      <c r="O156" t="s">
        <v>1061</v>
      </c>
      <c r="R156">
        <f t="shared" si="5"/>
        <v>0</v>
      </c>
    </row>
    <row r="157" spans="1:18" x14ac:dyDescent="0.2">
      <c r="A157">
        <v>110</v>
      </c>
      <c r="B157" t="s">
        <v>1222</v>
      </c>
      <c r="C157" t="s">
        <v>1060</v>
      </c>
      <c r="D157" t="s">
        <v>819</v>
      </c>
      <c r="E157">
        <v>1521</v>
      </c>
      <c r="F157">
        <v>14.07</v>
      </c>
      <c r="G157">
        <v>475</v>
      </c>
      <c r="H157">
        <v>235</v>
      </c>
      <c r="I157">
        <v>23.715659574468098</v>
      </c>
      <c r="J157">
        <v>1.53511653975494</v>
      </c>
      <c r="K157">
        <v>990.80425531914898</v>
      </c>
      <c r="L157" t="s">
        <v>767</v>
      </c>
      <c r="M157" t="s">
        <v>1348</v>
      </c>
      <c r="O157" t="s">
        <v>1061</v>
      </c>
      <c r="R157">
        <f t="shared" si="5"/>
        <v>0</v>
      </c>
    </row>
    <row r="158" spans="1:18" x14ac:dyDescent="0.2">
      <c r="A158">
        <v>118</v>
      </c>
      <c r="B158" t="s">
        <v>1238</v>
      </c>
      <c r="C158" t="s">
        <v>1060</v>
      </c>
      <c r="D158" t="s">
        <v>819</v>
      </c>
      <c r="E158">
        <v>1467</v>
      </c>
      <c r="F158">
        <v>17.309999999999999</v>
      </c>
      <c r="G158">
        <v>475</v>
      </c>
      <c r="H158">
        <v>235</v>
      </c>
      <c r="I158">
        <v>23.715659574468098</v>
      </c>
      <c r="J158">
        <v>1.48061536082873</v>
      </c>
      <c r="K158">
        <v>990.80425531914898</v>
      </c>
      <c r="L158" t="s">
        <v>767</v>
      </c>
      <c r="M158" t="s">
        <v>1348</v>
      </c>
      <c r="O158" t="s">
        <v>1061</v>
      </c>
      <c r="R158">
        <f t="shared" si="5"/>
        <v>0</v>
      </c>
    </row>
    <row r="159" spans="1:18" x14ac:dyDescent="0.2">
      <c r="A159">
        <v>141</v>
      </c>
      <c r="B159" t="s">
        <v>1272</v>
      </c>
      <c r="C159" t="s">
        <v>1060</v>
      </c>
      <c r="D159" t="s">
        <v>819</v>
      </c>
      <c r="E159">
        <v>1332</v>
      </c>
      <c r="F159">
        <v>15.32</v>
      </c>
      <c r="G159">
        <v>475</v>
      </c>
      <c r="H159">
        <v>235</v>
      </c>
      <c r="I159">
        <v>23.715659574468098</v>
      </c>
      <c r="J159">
        <v>1.3443624135132</v>
      </c>
      <c r="K159">
        <v>990.80425531914898</v>
      </c>
      <c r="L159" t="s">
        <v>767</v>
      </c>
      <c r="M159" t="s">
        <v>1348</v>
      </c>
      <c r="O159" t="s">
        <v>1061</v>
      </c>
      <c r="R159">
        <f t="shared" si="5"/>
        <v>0</v>
      </c>
    </row>
    <row r="160" spans="1:18" x14ac:dyDescent="0.2">
      <c r="A160">
        <v>165</v>
      </c>
      <c r="B160" t="s">
        <v>1303</v>
      </c>
      <c r="C160" t="s">
        <v>1060</v>
      </c>
      <c r="D160" t="s">
        <v>819</v>
      </c>
      <c r="E160">
        <v>1428</v>
      </c>
      <c r="F160">
        <v>15.41</v>
      </c>
      <c r="G160">
        <v>475</v>
      </c>
      <c r="H160">
        <v>235</v>
      </c>
      <c r="I160">
        <v>23.715659574468098</v>
      </c>
      <c r="J160">
        <v>1.4412533982709099</v>
      </c>
      <c r="K160">
        <v>990.80425531914898</v>
      </c>
      <c r="L160" t="s">
        <v>767</v>
      </c>
      <c r="M160" t="s">
        <v>1348</v>
      </c>
      <c r="O160" t="s">
        <v>1061</v>
      </c>
      <c r="R160">
        <f t="shared" si="5"/>
        <v>0</v>
      </c>
    </row>
    <row r="161" spans="1:18" x14ac:dyDescent="0.2">
      <c r="A161">
        <v>173</v>
      </c>
      <c r="B161" t="s">
        <v>1315</v>
      </c>
      <c r="C161" t="s">
        <v>1060</v>
      </c>
      <c r="D161" t="s">
        <v>819</v>
      </c>
      <c r="E161">
        <v>1347</v>
      </c>
      <c r="F161">
        <v>25.32</v>
      </c>
      <c r="G161">
        <v>475</v>
      </c>
      <c r="H161">
        <v>235</v>
      </c>
      <c r="I161">
        <v>23.715659574468098</v>
      </c>
      <c r="J161">
        <v>1.3595016298815901</v>
      </c>
      <c r="K161">
        <v>990.80425531914898</v>
      </c>
      <c r="L161" t="s">
        <v>767</v>
      </c>
      <c r="M161" t="s">
        <v>1348</v>
      </c>
      <c r="O161" t="s">
        <v>1061</v>
      </c>
      <c r="R161">
        <f t="shared" si="5"/>
        <v>0</v>
      </c>
    </row>
    <row r="162" spans="1:18" x14ac:dyDescent="0.2">
      <c r="A162">
        <v>184</v>
      </c>
      <c r="B162" t="s">
        <v>1328</v>
      </c>
      <c r="C162" t="s">
        <v>1060</v>
      </c>
      <c r="D162" t="s">
        <v>819</v>
      </c>
      <c r="E162">
        <v>1311</v>
      </c>
      <c r="F162">
        <v>18.920000000000002</v>
      </c>
      <c r="G162">
        <v>475</v>
      </c>
      <c r="H162">
        <v>235</v>
      </c>
      <c r="I162">
        <v>23.715659574468098</v>
      </c>
      <c r="J162">
        <v>1.3231675105974501</v>
      </c>
      <c r="K162">
        <v>990.80425531914898</v>
      </c>
      <c r="L162" t="s">
        <v>767</v>
      </c>
      <c r="M162" t="s">
        <v>1348</v>
      </c>
      <c r="O162" t="s">
        <v>1061</v>
      </c>
      <c r="R162">
        <f t="shared" si="5"/>
        <v>0</v>
      </c>
    </row>
    <row r="163" spans="1:18" x14ac:dyDescent="0.2">
      <c r="A163">
        <v>23</v>
      </c>
      <c r="B163" t="s">
        <v>1103</v>
      </c>
      <c r="C163" t="s">
        <v>1104</v>
      </c>
      <c r="D163" t="s">
        <v>1105</v>
      </c>
      <c r="E163">
        <v>690</v>
      </c>
      <c r="F163">
        <v>26.09</v>
      </c>
      <c r="G163">
        <v>609</v>
      </c>
      <c r="H163">
        <v>10</v>
      </c>
      <c r="I163">
        <v>23.800999999999998</v>
      </c>
      <c r="J163">
        <v>1.3271783035199101</v>
      </c>
      <c r="K163">
        <v>519.9</v>
      </c>
      <c r="L163" t="s">
        <v>772</v>
      </c>
      <c r="M163" t="s">
        <v>1348</v>
      </c>
      <c r="O163" t="s">
        <v>1013</v>
      </c>
      <c r="R163">
        <f t="shared" si="5"/>
        <v>0</v>
      </c>
    </row>
    <row r="164" spans="1:18" x14ac:dyDescent="0.2">
      <c r="A164">
        <v>30</v>
      </c>
      <c r="B164" t="s">
        <v>1115</v>
      </c>
      <c r="C164" t="s">
        <v>1104</v>
      </c>
      <c r="D164" t="s">
        <v>1105</v>
      </c>
      <c r="E164">
        <v>843</v>
      </c>
      <c r="F164">
        <v>26.81</v>
      </c>
      <c r="G164">
        <v>609</v>
      </c>
      <c r="H164">
        <v>10</v>
      </c>
      <c r="I164">
        <v>23.800999999999998</v>
      </c>
      <c r="J164">
        <v>1.6214656664743201</v>
      </c>
      <c r="K164">
        <v>519.9</v>
      </c>
      <c r="L164" t="s">
        <v>772</v>
      </c>
      <c r="M164" t="s">
        <v>1348</v>
      </c>
      <c r="O164" t="s">
        <v>1013</v>
      </c>
      <c r="R164">
        <f t="shared" si="5"/>
        <v>0</v>
      </c>
    </row>
    <row r="165" spans="1:18" x14ac:dyDescent="0.2">
      <c r="A165">
        <v>190</v>
      </c>
      <c r="B165" t="s">
        <v>1337</v>
      </c>
      <c r="C165" t="s">
        <v>1104</v>
      </c>
      <c r="D165" t="s">
        <v>1105</v>
      </c>
      <c r="E165">
        <v>318</v>
      </c>
      <c r="F165">
        <v>11.64</v>
      </c>
      <c r="G165">
        <v>499</v>
      </c>
      <c r="H165">
        <v>230</v>
      </c>
      <c r="I165">
        <v>16.977043478260899</v>
      </c>
      <c r="J165">
        <v>1.51654640457825</v>
      </c>
      <c r="K165">
        <v>209.68695652173901</v>
      </c>
      <c r="L165" t="s">
        <v>772</v>
      </c>
      <c r="M165" t="s">
        <v>1348</v>
      </c>
      <c r="O165" t="s">
        <v>1013</v>
      </c>
      <c r="R165">
        <f t="shared" si="5"/>
        <v>0</v>
      </c>
    </row>
    <row r="166" spans="1:18" x14ac:dyDescent="0.2">
      <c r="A166">
        <v>149</v>
      </c>
      <c r="B166" t="s">
        <v>1285</v>
      </c>
      <c r="C166" t="s">
        <v>1286</v>
      </c>
      <c r="D166" t="s">
        <v>1287</v>
      </c>
      <c r="E166">
        <v>1689</v>
      </c>
      <c r="F166">
        <v>24.39</v>
      </c>
      <c r="G166">
        <v>506</v>
      </c>
      <c r="H166">
        <v>227</v>
      </c>
      <c r="I166">
        <v>25.497577092511001</v>
      </c>
      <c r="J166">
        <v>1.3669579540714301</v>
      </c>
      <c r="K166">
        <v>1235.59030837004</v>
      </c>
      <c r="L166" t="s">
        <v>773</v>
      </c>
      <c r="M166" t="s">
        <v>1348</v>
      </c>
      <c r="O166" t="s">
        <v>1016</v>
      </c>
      <c r="R166">
        <f t="shared" si="5"/>
        <v>0</v>
      </c>
    </row>
    <row r="167" spans="1:18" x14ac:dyDescent="0.2">
      <c r="A167">
        <v>186</v>
      </c>
      <c r="B167" t="s">
        <v>1330</v>
      </c>
      <c r="C167" t="s">
        <v>1286</v>
      </c>
      <c r="D167" t="s">
        <v>1287</v>
      </c>
      <c r="E167">
        <v>1677</v>
      </c>
      <c r="F167">
        <v>26.83</v>
      </c>
      <c r="G167">
        <v>506</v>
      </c>
      <c r="H167">
        <v>227</v>
      </c>
      <c r="I167">
        <v>25.497577092511001</v>
      </c>
      <c r="J167">
        <v>1.35724599702652</v>
      </c>
      <c r="K167">
        <v>1235.59030837004</v>
      </c>
      <c r="L167" t="s">
        <v>773</v>
      </c>
      <c r="M167" t="s">
        <v>1348</v>
      </c>
      <c r="O167" t="s">
        <v>1016</v>
      </c>
      <c r="R167">
        <f t="shared" si="5"/>
        <v>0</v>
      </c>
    </row>
    <row r="168" spans="1:18" x14ac:dyDescent="0.2">
      <c r="A168">
        <v>5</v>
      </c>
      <c r="B168" t="s">
        <v>1069</v>
      </c>
      <c r="C168" t="s">
        <v>651</v>
      </c>
      <c r="D168" t="s">
        <v>653</v>
      </c>
      <c r="E168">
        <v>213</v>
      </c>
      <c r="F168">
        <v>17.84</v>
      </c>
      <c r="G168">
        <v>514</v>
      </c>
      <c r="H168">
        <v>220</v>
      </c>
      <c r="I168">
        <v>20.939454545454499</v>
      </c>
      <c r="J168">
        <v>1.32879625691195</v>
      </c>
      <c r="K168">
        <v>160.29545454545499</v>
      </c>
      <c r="L168" t="s">
        <v>775</v>
      </c>
      <c r="M168" t="s">
        <v>1348</v>
      </c>
      <c r="O168" t="s">
        <v>652</v>
      </c>
      <c r="R168">
        <f t="shared" si="5"/>
        <v>0</v>
      </c>
    </row>
    <row r="169" spans="1:18" x14ac:dyDescent="0.2">
      <c r="A169">
        <v>9</v>
      </c>
      <c r="B169" t="s">
        <v>1078</v>
      </c>
      <c r="C169" t="s">
        <v>651</v>
      </c>
      <c r="D169" t="s">
        <v>653</v>
      </c>
      <c r="E169">
        <v>216</v>
      </c>
      <c r="F169">
        <v>14.81</v>
      </c>
      <c r="G169">
        <v>514</v>
      </c>
      <c r="H169">
        <v>220</v>
      </c>
      <c r="I169">
        <v>20.939454545454499</v>
      </c>
      <c r="J169">
        <v>1.34751169715015</v>
      </c>
      <c r="K169">
        <v>160.29545454545499</v>
      </c>
      <c r="L169" t="s">
        <v>775</v>
      </c>
      <c r="M169" t="s">
        <v>1348</v>
      </c>
      <c r="O169" t="s">
        <v>652</v>
      </c>
      <c r="R169">
        <f t="shared" si="5"/>
        <v>0</v>
      </c>
    </row>
    <row r="170" spans="1:18" x14ac:dyDescent="0.2">
      <c r="A170">
        <v>15</v>
      </c>
      <c r="B170" t="s">
        <v>1095</v>
      </c>
      <c r="C170" t="s">
        <v>651</v>
      </c>
      <c r="D170" t="s">
        <v>653</v>
      </c>
      <c r="E170">
        <v>213</v>
      </c>
      <c r="F170">
        <v>17.84</v>
      </c>
      <c r="G170">
        <v>514</v>
      </c>
      <c r="H170">
        <v>220</v>
      </c>
      <c r="I170">
        <v>20.939454545454499</v>
      </c>
      <c r="J170">
        <v>1.32879625691195</v>
      </c>
      <c r="K170">
        <v>160.29545454545499</v>
      </c>
      <c r="L170" t="s">
        <v>775</v>
      </c>
      <c r="M170" t="s">
        <v>1348</v>
      </c>
      <c r="O170" t="s">
        <v>652</v>
      </c>
      <c r="R170">
        <f t="shared" si="5"/>
        <v>0</v>
      </c>
    </row>
    <row r="171" spans="1:18" x14ac:dyDescent="0.2">
      <c r="A171">
        <v>17</v>
      </c>
      <c r="B171" t="s">
        <v>1097</v>
      </c>
      <c r="C171" t="s">
        <v>651</v>
      </c>
      <c r="D171" t="s">
        <v>653</v>
      </c>
      <c r="E171">
        <v>225</v>
      </c>
      <c r="F171">
        <v>15.56</v>
      </c>
      <c r="G171">
        <v>514</v>
      </c>
      <c r="H171">
        <v>220</v>
      </c>
      <c r="I171">
        <v>20.939454545454499</v>
      </c>
      <c r="J171">
        <v>1.40365801786474</v>
      </c>
      <c r="K171">
        <v>160.29545454545499</v>
      </c>
      <c r="L171" t="s">
        <v>775</v>
      </c>
      <c r="M171" t="s">
        <v>1348</v>
      </c>
      <c r="O171" t="s">
        <v>652</v>
      </c>
      <c r="R171">
        <f t="shared" ref="R171:R197" si="6">P171+Q171</f>
        <v>0</v>
      </c>
    </row>
    <row r="172" spans="1:18" x14ac:dyDescent="0.2">
      <c r="A172">
        <v>20</v>
      </c>
      <c r="B172" t="s">
        <v>1100</v>
      </c>
      <c r="C172" t="s">
        <v>651</v>
      </c>
      <c r="D172" t="s">
        <v>653</v>
      </c>
      <c r="E172">
        <v>228</v>
      </c>
      <c r="F172">
        <v>18.420000000000002</v>
      </c>
      <c r="G172">
        <v>514</v>
      </c>
      <c r="H172">
        <v>220</v>
      </c>
      <c r="I172">
        <v>20.939454545454499</v>
      </c>
      <c r="J172">
        <v>1.4223734581029399</v>
      </c>
      <c r="K172">
        <v>160.29545454545499</v>
      </c>
      <c r="L172" t="s">
        <v>775</v>
      </c>
      <c r="M172" t="s">
        <v>1348</v>
      </c>
      <c r="O172" t="s">
        <v>652</v>
      </c>
      <c r="R172">
        <f t="shared" si="6"/>
        <v>0</v>
      </c>
    </row>
    <row r="173" spans="1:18" x14ac:dyDescent="0.2">
      <c r="A173">
        <v>36</v>
      </c>
      <c r="B173" t="s">
        <v>1122</v>
      </c>
      <c r="C173" t="s">
        <v>651</v>
      </c>
      <c r="D173" t="s">
        <v>653</v>
      </c>
      <c r="E173">
        <v>315</v>
      </c>
      <c r="F173">
        <v>20.95</v>
      </c>
      <c r="G173">
        <v>514</v>
      </c>
      <c r="H173">
        <v>220</v>
      </c>
      <c r="I173">
        <v>20.939454545454499</v>
      </c>
      <c r="J173">
        <v>1.96512122501063</v>
      </c>
      <c r="K173">
        <v>160.29545454545499</v>
      </c>
      <c r="L173" t="s">
        <v>775</v>
      </c>
      <c r="M173" t="s">
        <v>1348</v>
      </c>
      <c r="O173" t="s">
        <v>652</v>
      </c>
      <c r="R173">
        <f t="shared" si="6"/>
        <v>0</v>
      </c>
    </row>
    <row r="174" spans="1:18" x14ac:dyDescent="0.2">
      <c r="A174">
        <v>44</v>
      </c>
      <c r="B174" t="s">
        <v>1132</v>
      </c>
      <c r="C174" t="s">
        <v>651</v>
      </c>
      <c r="D174" t="s">
        <v>653</v>
      </c>
      <c r="E174">
        <v>222</v>
      </c>
      <c r="F174">
        <v>14.41</v>
      </c>
      <c r="G174">
        <v>514</v>
      </c>
      <c r="H174">
        <v>220</v>
      </c>
      <c r="I174">
        <v>20.939454545454499</v>
      </c>
      <c r="J174">
        <v>1.3849425776265401</v>
      </c>
      <c r="K174">
        <v>160.29545454545499</v>
      </c>
      <c r="L174" t="s">
        <v>775</v>
      </c>
      <c r="M174" t="s">
        <v>1348</v>
      </c>
      <c r="O174" t="s">
        <v>652</v>
      </c>
      <c r="R174">
        <f t="shared" si="6"/>
        <v>0</v>
      </c>
    </row>
    <row r="175" spans="1:18" x14ac:dyDescent="0.2">
      <c r="A175">
        <v>54</v>
      </c>
      <c r="B175" t="s">
        <v>1143</v>
      </c>
      <c r="C175" t="s">
        <v>651</v>
      </c>
      <c r="D175" t="s">
        <v>653</v>
      </c>
      <c r="E175">
        <v>213</v>
      </c>
      <c r="F175">
        <v>17.37</v>
      </c>
      <c r="G175">
        <v>514</v>
      </c>
      <c r="H175">
        <v>220</v>
      </c>
      <c r="I175">
        <v>20.939454545454499</v>
      </c>
      <c r="J175">
        <v>1.32879625691195</v>
      </c>
      <c r="K175">
        <v>160.29545454545499</v>
      </c>
      <c r="L175" t="s">
        <v>775</v>
      </c>
      <c r="M175" t="s">
        <v>1348</v>
      </c>
      <c r="O175" t="s">
        <v>652</v>
      </c>
      <c r="R175">
        <f t="shared" si="6"/>
        <v>0</v>
      </c>
    </row>
    <row r="176" spans="1:18" x14ac:dyDescent="0.2">
      <c r="A176">
        <v>63</v>
      </c>
      <c r="B176" t="s">
        <v>1152</v>
      </c>
      <c r="C176" t="s">
        <v>651</v>
      </c>
      <c r="D176" t="s">
        <v>653</v>
      </c>
      <c r="E176">
        <v>213</v>
      </c>
      <c r="F176">
        <v>19.25</v>
      </c>
      <c r="G176">
        <v>514</v>
      </c>
      <c r="H176">
        <v>220</v>
      </c>
      <c r="I176">
        <v>20.939454545454499</v>
      </c>
      <c r="J176">
        <v>1.32879625691195</v>
      </c>
      <c r="K176">
        <v>160.29545454545499</v>
      </c>
      <c r="L176" t="s">
        <v>775</v>
      </c>
      <c r="M176" t="s">
        <v>1348</v>
      </c>
      <c r="O176" t="s">
        <v>652</v>
      </c>
      <c r="R176">
        <f t="shared" si="6"/>
        <v>0</v>
      </c>
    </row>
    <row r="177" spans="1:18" x14ac:dyDescent="0.2">
      <c r="A177">
        <v>73</v>
      </c>
      <c r="B177" t="s">
        <v>1169</v>
      </c>
      <c r="C177" t="s">
        <v>651</v>
      </c>
      <c r="D177" t="s">
        <v>653</v>
      </c>
      <c r="E177">
        <v>213</v>
      </c>
      <c r="F177">
        <v>15.02</v>
      </c>
      <c r="G177">
        <v>514</v>
      </c>
      <c r="H177">
        <v>220</v>
      </c>
      <c r="I177">
        <v>20.939454545454499</v>
      </c>
      <c r="J177">
        <v>1.32879625691195</v>
      </c>
      <c r="K177">
        <v>160.29545454545499</v>
      </c>
      <c r="L177" t="s">
        <v>775</v>
      </c>
      <c r="M177" t="s">
        <v>1348</v>
      </c>
      <c r="O177" t="s">
        <v>652</v>
      </c>
      <c r="R177">
        <f t="shared" si="6"/>
        <v>0</v>
      </c>
    </row>
    <row r="178" spans="1:18" x14ac:dyDescent="0.2">
      <c r="A178">
        <v>77</v>
      </c>
      <c r="B178" t="s">
        <v>1173</v>
      </c>
      <c r="C178" t="s">
        <v>651</v>
      </c>
      <c r="D178" t="s">
        <v>653</v>
      </c>
      <c r="E178">
        <v>213</v>
      </c>
      <c r="F178">
        <v>17.37</v>
      </c>
      <c r="G178">
        <v>514</v>
      </c>
      <c r="H178">
        <v>220</v>
      </c>
      <c r="I178">
        <v>20.939454545454499</v>
      </c>
      <c r="J178">
        <v>1.32879625691195</v>
      </c>
      <c r="K178">
        <v>160.29545454545499</v>
      </c>
      <c r="L178" t="s">
        <v>775</v>
      </c>
      <c r="M178" t="s">
        <v>1348</v>
      </c>
      <c r="O178" t="s">
        <v>652</v>
      </c>
      <c r="R178">
        <f t="shared" si="6"/>
        <v>0</v>
      </c>
    </row>
    <row r="179" spans="1:18" x14ac:dyDescent="0.2">
      <c r="A179">
        <v>101</v>
      </c>
      <c r="B179" t="s">
        <v>1211</v>
      </c>
      <c r="C179" t="s">
        <v>651</v>
      </c>
      <c r="D179" t="s">
        <v>653</v>
      </c>
      <c r="E179">
        <v>285</v>
      </c>
      <c r="F179">
        <v>24.56</v>
      </c>
      <c r="G179">
        <v>514</v>
      </c>
      <c r="H179">
        <v>220</v>
      </c>
      <c r="I179">
        <v>20.939454545454499</v>
      </c>
      <c r="J179">
        <v>1.77796682262867</v>
      </c>
      <c r="K179">
        <v>160.29545454545499</v>
      </c>
      <c r="L179" t="s">
        <v>775</v>
      </c>
      <c r="M179" t="s">
        <v>1348</v>
      </c>
      <c r="O179" t="s">
        <v>652</v>
      </c>
      <c r="R179">
        <f t="shared" si="6"/>
        <v>0</v>
      </c>
    </row>
    <row r="180" spans="1:18" x14ac:dyDescent="0.2">
      <c r="A180">
        <v>189</v>
      </c>
      <c r="B180" t="s">
        <v>1336</v>
      </c>
      <c r="C180" t="s">
        <v>651</v>
      </c>
      <c r="D180" t="s">
        <v>653</v>
      </c>
      <c r="E180">
        <v>228</v>
      </c>
      <c r="F180">
        <v>17.11</v>
      </c>
      <c r="G180">
        <v>514</v>
      </c>
      <c r="H180">
        <v>220</v>
      </c>
      <c r="I180">
        <v>20.939454545454499</v>
      </c>
      <c r="J180">
        <v>1.4223734581029399</v>
      </c>
      <c r="K180">
        <v>160.29545454545499</v>
      </c>
      <c r="L180" t="s">
        <v>775</v>
      </c>
      <c r="M180" t="s">
        <v>1348</v>
      </c>
      <c r="O180" t="s">
        <v>652</v>
      </c>
      <c r="R180">
        <f t="shared" si="6"/>
        <v>0</v>
      </c>
    </row>
    <row r="181" spans="1:18" hidden="1" x14ac:dyDescent="0.2">
      <c r="A181">
        <v>167</v>
      </c>
      <c r="B181" t="s">
        <v>1305</v>
      </c>
      <c r="C181" t="s">
        <v>1306</v>
      </c>
      <c r="D181" t="s">
        <v>1019</v>
      </c>
      <c r="E181">
        <v>249</v>
      </c>
      <c r="F181">
        <v>23.69</v>
      </c>
      <c r="G181">
        <v>533</v>
      </c>
      <c r="H181">
        <v>210</v>
      </c>
      <c r="I181">
        <v>18.877380952380999</v>
      </c>
      <c r="J181">
        <v>1.50505137725585</v>
      </c>
      <c r="K181">
        <v>165.44285714285701</v>
      </c>
      <c r="L181" t="s">
        <v>776</v>
      </c>
      <c r="M181" t="s">
        <v>1355</v>
      </c>
      <c r="N181" t="s">
        <v>1362</v>
      </c>
      <c r="O181" t="s">
        <v>1019</v>
      </c>
      <c r="P181">
        <v>1</v>
      </c>
      <c r="R181">
        <f t="shared" si="6"/>
        <v>1</v>
      </c>
    </row>
    <row r="182" spans="1:18" hidden="1" x14ac:dyDescent="0.2">
      <c r="A182">
        <v>169</v>
      </c>
      <c r="B182" t="s">
        <v>1308</v>
      </c>
      <c r="C182" t="s">
        <v>1306</v>
      </c>
      <c r="D182" t="s">
        <v>1019</v>
      </c>
      <c r="E182">
        <v>249</v>
      </c>
      <c r="F182">
        <v>23.69</v>
      </c>
      <c r="G182">
        <v>533</v>
      </c>
      <c r="H182">
        <v>210</v>
      </c>
      <c r="I182">
        <v>18.877380952380999</v>
      </c>
      <c r="J182">
        <v>1.50505137725585</v>
      </c>
      <c r="K182">
        <v>165.44285714285701</v>
      </c>
      <c r="L182" t="s">
        <v>776</v>
      </c>
      <c r="M182" t="s">
        <v>1355</v>
      </c>
      <c r="N182" t="s">
        <v>1362</v>
      </c>
      <c r="O182" t="s">
        <v>1358</v>
      </c>
      <c r="P182">
        <v>1</v>
      </c>
      <c r="R182">
        <f t="shared" si="6"/>
        <v>1</v>
      </c>
    </row>
    <row r="183" spans="1:18" hidden="1" x14ac:dyDescent="0.2">
      <c r="A183">
        <v>196</v>
      </c>
      <c r="B183" t="s">
        <v>1346</v>
      </c>
      <c r="C183" t="s">
        <v>431</v>
      </c>
      <c r="D183" t="s">
        <v>431</v>
      </c>
      <c r="E183">
        <v>222</v>
      </c>
      <c r="F183">
        <v>10.36</v>
      </c>
      <c r="G183">
        <v>533</v>
      </c>
      <c r="H183">
        <v>210</v>
      </c>
      <c r="I183">
        <v>18.877380952380999</v>
      </c>
      <c r="J183">
        <v>1.3418530351437701</v>
      </c>
      <c r="K183">
        <v>165.44285714285701</v>
      </c>
      <c r="L183" t="s">
        <v>776</v>
      </c>
      <c r="M183" t="s">
        <v>1355</v>
      </c>
      <c r="N183" t="s">
        <v>1362</v>
      </c>
      <c r="O183" t="s">
        <v>431</v>
      </c>
      <c r="P183">
        <v>1</v>
      </c>
      <c r="R183">
        <f t="shared" si="6"/>
        <v>1</v>
      </c>
    </row>
    <row r="184" spans="1:18" hidden="1" x14ac:dyDescent="0.2">
      <c r="A184">
        <v>197</v>
      </c>
      <c r="B184" t="s">
        <v>1347</v>
      </c>
      <c r="C184" t="s">
        <v>431</v>
      </c>
      <c r="D184" t="s">
        <v>431</v>
      </c>
      <c r="E184">
        <v>228</v>
      </c>
      <c r="F184">
        <v>10.96</v>
      </c>
      <c r="G184">
        <v>533</v>
      </c>
      <c r="H184">
        <v>210</v>
      </c>
      <c r="I184">
        <v>18.877380952380999</v>
      </c>
      <c r="J184">
        <v>1.3781193333909001</v>
      </c>
      <c r="K184">
        <v>165.44285714285701</v>
      </c>
      <c r="L184" t="s">
        <v>776</v>
      </c>
      <c r="M184" t="s">
        <v>1355</v>
      </c>
      <c r="N184" t="s">
        <v>1362</v>
      </c>
      <c r="O184" t="s">
        <v>431</v>
      </c>
      <c r="P184">
        <v>1</v>
      </c>
      <c r="R184">
        <f t="shared" si="6"/>
        <v>1</v>
      </c>
    </row>
    <row r="185" spans="1:18" x14ac:dyDescent="0.2">
      <c r="A185">
        <v>1</v>
      </c>
      <c r="B185" t="s">
        <v>1056</v>
      </c>
      <c r="C185" t="s">
        <v>1057</v>
      </c>
      <c r="D185" t="s">
        <v>1058</v>
      </c>
      <c r="E185">
        <v>1650</v>
      </c>
      <c r="F185">
        <v>26.91</v>
      </c>
      <c r="G185">
        <v>545</v>
      </c>
      <c r="H185">
        <v>206</v>
      </c>
      <c r="I185">
        <v>23.9023300970874</v>
      </c>
      <c r="J185">
        <v>1.4377260326121399</v>
      </c>
      <c r="K185">
        <v>1147.64563106796</v>
      </c>
      <c r="L185" t="s">
        <v>778</v>
      </c>
      <c r="M185" t="s">
        <v>1348</v>
      </c>
      <c r="O185" t="s">
        <v>1058</v>
      </c>
      <c r="R185">
        <f t="shared" si="6"/>
        <v>0</v>
      </c>
    </row>
    <row r="186" spans="1:18" x14ac:dyDescent="0.2">
      <c r="A186">
        <v>22</v>
      </c>
      <c r="B186" t="s">
        <v>1102</v>
      </c>
      <c r="C186" t="s">
        <v>1057</v>
      </c>
      <c r="D186" t="s">
        <v>1058</v>
      </c>
      <c r="E186">
        <v>1644</v>
      </c>
      <c r="F186">
        <v>23.42</v>
      </c>
      <c r="G186">
        <v>545</v>
      </c>
      <c r="H186">
        <v>206</v>
      </c>
      <c r="I186">
        <v>23.9023300970874</v>
      </c>
      <c r="J186">
        <v>1.4324979379481</v>
      </c>
      <c r="K186">
        <v>1147.64563106796</v>
      </c>
      <c r="L186" t="s">
        <v>778</v>
      </c>
      <c r="M186" t="s">
        <v>1348</v>
      </c>
      <c r="O186" t="s">
        <v>1058</v>
      </c>
      <c r="R186">
        <f t="shared" si="6"/>
        <v>0</v>
      </c>
    </row>
    <row r="187" spans="1:18" x14ac:dyDescent="0.2">
      <c r="A187">
        <v>28</v>
      </c>
      <c r="B187" t="s">
        <v>1113</v>
      </c>
      <c r="C187" t="s">
        <v>1057</v>
      </c>
      <c r="D187" t="s">
        <v>1058</v>
      </c>
      <c r="E187">
        <v>1587</v>
      </c>
      <c r="F187">
        <v>24.51</v>
      </c>
      <c r="G187">
        <v>545</v>
      </c>
      <c r="H187">
        <v>206</v>
      </c>
      <c r="I187">
        <v>23.9023300970874</v>
      </c>
      <c r="J187">
        <v>1.38283103863968</v>
      </c>
      <c r="K187">
        <v>1147.64563106796</v>
      </c>
      <c r="L187" t="s">
        <v>778</v>
      </c>
      <c r="M187" t="s">
        <v>1348</v>
      </c>
      <c r="O187" t="s">
        <v>1058</v>
      </c>
      <c r="R187">
        <f t="shared" si="6"/>
        <v>0</v>
      </c>
    </row>
    <row r="188" spans="1:18" x14ac:dyDescent="0.2">
      <c r="A188">
        <v>29</v>
      </c>
      <c r="B188" t="s">
        <v>1114</v>
      </c>
      <c r="C188" t="s">
        <v>1057</v>
      </c>
      <c r="D188" t="s">
        <v>1058</v>
      </c>
      <c r="E188">
        <v>1644</v>
      </c>
      <c r="F188">
        <v>23.42</v>
      </c>
      <c r="G188">
        <v>545</v>
      </c>
      <c r="H188">
        <v>206</v>
      </c>
      <c r="I188">
        <v>23.9023300970874</v>
      </c>
      <c r="J188">
        <v>1.4324979379481</v>
      </c>
      <c r="K188">
        <v>1147.64563106796</v>
      </c>
      <c r="L188" t="s">
        <v>778</v>
      </c>
      <c r="M188" t="s">
        <v>1348</v>
      </c>
      <c r="O188" t="s">
        <v>1058</v>
      </c>
      <c r="R188">
        <f t="shared" si="6"/>
        <v>0</v>
      </c>
    </row>
    <row r="189" spans="1:18" x14ac:dyDescent="0.2">
      <c r="A189">
        <v>32</v>
      </c>
      <c r="B189" t="s">
        <v>1117</v>
      </c>
      <c r="C189" t="s">
        <v>1057</v>
      </c>
      <c r="D189" t="s">
        <v>1058</v>
      </c>
      <c r="E189">
        <v>1638</v>
      </c>
      <c r="F189">
        <v>27.11</v>
      </c>
      <c r="G189">
        <v>545</v>
      </c>
      <c r="H189">
        <v>206</v>
      </c>
      <c r="I189">
        <v>23.9023300970874</v>
      </c>
      <c r="J189">
        <v>1.42726984328406</v>
      </c>
      <c r="K189">
        <v>1147.64563106796</v>
      </c>
      <c r="L189" t="s">
        <v>778</v>
      </c>
      <c r="M189" t="s">
        <v>1348</v>
      </c>
      <c r="O189" t="s">
        <v>1058</v>
      </c>
      <c r="R189">
        <f t="shared" si="6"/>
        <v>0</v>
      </c>
    </row>
    <row r="190" spans="1:18" x14ac:dyDescent="0.2">
      <c r="A190">
        <v>41</v>
      </c>
      <c r="B190" t="s">
        <v>1127</v>
      </c>
      <c r="C190" t="s">
        <v>1057</v>
      </c>
      <c r="D190" t="s">
        <v>1058</v>
      </c>
      <c r="E190">
        <v>1590</v>
      </c>
      <c r="F190">
        <v>26.54</v>
      </c>
      <c r="G190">
        <v>545</v>
      </c>
      <c r="H190">
        <v>206</v>
      </c>
      <c r="I190">
        <v>23.9023300970874</v>
      </c>
      <c r="J190">
        <v>1.3854450859717</v>
      </c>
      <c r="K190">
        <v>1147.64563106796</v>
      </c>
      <c r="L190" t="s">
        <v>778</v>
      </c>
      <c r="M190" t="s">
        <v>1348</v>
      </c>
      <c r="O190" t="s">
        <v>1058</v>
      </c>
      <c r="R190">
        <f t="shared" si="6"/>
        <v>0</v>
      </c>
    </row>
    <row r="191" spans="1:18" x14ac:dyDescent="0.2">
      <c r="A191">
        <v>49</v>
      </c>
      <c r="B191" t="s">
        <v>1138</v>
      </c>
      <c r="C191" t="s">
        <v>1057</v>
      </c>
      <c r="D191" t="s">
        <v>1058</v>
      </c>
      <c r="E191">
        <v>1716</v>
      </c>
      <c r="F191">
        <v>26.22</v>
      </c>
      <c r="G191">
        <v>545</v>
      </c>
      <c r="H191">
        <v>206</v>
      </c>
      <c r="I191">
        <v>23.9023300970874</v>
      </c>
      <c r="J191">
        <v>1.49523507391663</v>
      </c>
      <c r="K191">
        <v>1147.64563106796</v>
      </c>
      <c r="L191" t="s">
        <v>778</v>
      </c>
      <c r="M191" t="s">
        <v>1348</v>
      </c>
      <c r="O191" t="s">
        <v>1058</v>
      </c>
      <c r="R191">
        <f t="shared" si="6"/>
        <v>0</v>
      </c>
    </row>
    <row r="192" spans="1:18" x14ac:dyDescent="0.2">
      <c r="A192">
        <v>58</v>
      </c>
      <c r="B192" t="s">
        <v>1147</v>
      </c>
      <c r="C192" t="s">
        <v>1057</v>
      </c>
      <c r="D192" t="s">
        <v>1058</v>
      </c>
      <c r="E192">
        <v>1755</v>
      </c>
      <c r="F192">
        <v>27.35</v>
      </c>
      <c r="G192">
        <v>545</v>
      </c>
      <c r="H192">
        <v>206</v>
      </c>
      <c r="I192">
        <v>23.9023300970874</v>
      </c>
      <c r="J192">
        <v>1.5292176892329199</v>
      </c>
      <c r="K192">
        <v>1147.64563106796</v>
      </c>
      <c r="L192" t="s">
        <v>778</v>
      </c>
      <c r="M192" t="s">
        <v>1348</v>
      </c>
      <c r="O192" t="s">
        <v>1058</v>
      </c>
      <c r="R192">
        <f t="shared" si="6"/>
        <v>0</v>
      </c>
    </row>
    <row r="193" spans="1:18" x14ac:dyDescent="0.2">
      <c r="A193">
        <v>66</v>
      </c>
      <c r="B193" t="s">
        <v>1155</v>
      </c>
      <c r="C193" t="s">
        <v>1057</v>
      </c>
      <c r="D193" t="s">
        <v>1058</v>
      </c>
      <c r="E193">
        <v>1632</v>
      </c>
      <c r="F193">
        <v>26.78</v>
      </c>
      <c r="G193">
        <v>545</v>
      </c>
      <c r="H193">
        <v>206</v>
      </c>
      <c r="I193">
        <v>23.9023300970874</v>
      </c>
      <c r="J193">
        <v>1.4220417486200101</v>
      </c>
      <c r="K193">
        <v>1147.64563106796</v>
      </c>
      <c r="L193" t="s">
        <v>778</v>
      </c>
      <c r="M193" t="s">
        <v>1348</v>
      </c>
      <c r="O193" t="s">
        <v>1058</v>
      </c>
      <c r="R193">
        <f t="shared" si="6"/>
        <v>0</v>
      </c>
    </row>
    <row r="194" spans="1:18" x14ac:dyDescent="0.2">
      <c r="A194">
        <v>69</v>
      </c>
      <c r="B194" t="s">
        <v>1158</v>
      </c>
      <c r="C194" t="s">
        <v>1057</v>
      </c>
      <c r="D194" t="s">
        <v>1058</v>
      </c>
      <c r="E194">
        <v>1638</v>
      </c>
      <c r="F194">
        <v>25.89</v>
      </c>
      <c r="G194">
        <v>545</v>
      </c>
      <c r="H194">
        <v>206</v>
      </c>
      <c r="I194">
        <v>23.9023300970874</v>
      </c>
      <c r="J194">
        <v>1.42726984328406</v>
      </c>
      <c r="K194">
        <v>1147.64563106796</v>
      </c>
      <c r="L194" t="s">
        <v>778</v>
      </c>
      <c r="M194" t="s">
        <v>1348</v>
      </c>
      <c r="O194" t="s">
        <v>1058</v>
      </c>
      <c r="R194">
        <f t="shared" si="6"/>
        <v>0</v>
      </c>
    </row>
    <row r="195" spans="1:18" x14ac:dyDescent="0.2">
      <c r="A195">
        <v>81</v>
      </c>
      <c r="B195" t="s">
        <v>1177</v>
      </c>
      <c r="C195" t="s">
        <v>1057</v>
      </c>
      <c r="D195" t="s">
        <v>1058</v>
      </c>
      <c r="E195">
        <v>1668</v>
      </c>
      <c r="F195">
        <v>27.04</v>
      </c>
      <c r="G195">
        <v>545</v>
      </c>
      <c r="H195">
        <v>206</v>
      </c>
      <c r="I195">
        <v>23.9023300970874</v>
      </c>
      <c r="J195">
        <v>1.45341031660428</v>
      </c>
      <c r="K195">
        <v>1147.64563106796</v>
      </c>
      <c r="L195" t="s">
        <v>778</v>
      </c>
      <c r="M195" t="s">
        <v>1348</v>
      </c>
      <c r="O195" t="s">
        <v>1058</v>
      </c>
      <c r="R195">
        <f t="shared" si="6"/>
        <v>0</v>
      </c>
    </row>
    <row r="196" spans="1:18" x14ac:dyDescent="0.2">
      <c r="A196">
        <v>174</v>
      </c>
      <c r="B196" t="s">
        <v>1316</v>
      </c>
      <c r="C196" t="s">
        <v>1317</v>
      </c>
      <c r="D196" t="s">
        <v>1318</v>
      </c>
      <c r="E196">
        <v>771</v>
      </c>
      <c r="F196">
        <v>16.21</v>
      </c>
      <c r="G196">
        <v>571</v>
      </c>
      <c r="H196">
        <v>174</v>
      </c>
      <c r="I196">
        <v>18.605402298850599</v>
      </c>
      <c r="J196">
        <v>1.44265574087815</v>
      </c>
      <c r="K196">
        <v>534.43103448275895</v>
      </c>
      <c r="L196" t="s">
        <v>779</v>
      </c>
      <c r="M196" t="s">
        <v>1348</v>
      </c>
      <c r="O196" t="s">
        <v>1027</v>
      </c>
      <c r="R196">
        <f t="shared" si="6"/>
        <v>0</v>
      </c>
    </row>
    <row r="197" spans="1:18" hidden="1" x14ac:dyDescent="0.2">
      <c r="A197">
        <v>181</v>
      </c>
      <c r="B197" t="s">
        <v>1325</v>
      </c>
      <c r="C197" t="s">
        <v>516</v>
      </c>
      <c r="D197" t="s">
        <v>517</v>
      </c>
      <c r="E197">
        <v>654</v>
      </c>
      <c r="F197">
        <v>26.61</v>
      </c>
      <c r="G197">
        <v>582</v>
      </c>
      <c r="H197">
        <v>110</v>
      </c>
      <c r="I197">
        <v>21.271727272727301</v>
      </c>
      <c r="J197">
        <v>1.5648655703471701</v>
      </c>
      <c r="K197">
        <v>417.92727272727302</v>
      </c>
      <c r="L197" t="s">
        <v>783</v>
      </c>
      <c r="M197" t="s">
        <v>1355</v>
      </c>
      <c r="N197" t="s">
        <v>1376</v>
      </c>
      <c r="O197" t="s">
        <v>517</v>
      </c>
      <c r="Q197">
        <v>1</v>
      </c>
      <c r="R197">
        <f t="shared" si="6"/>
        <v>1</v>
      </c>
    </row>
    <row r="198" spans="1:18" hidden="1" x14ac:dyDescent="0.2">
      <c r="A198">
        <v>100</v>
      </c>
      <c r="B198" t="s">
        <v>1210</v>
      </c>
      <c r="C198" t="s">
        <v>431</v>
      </c>
      <c r="D198" t="s">
        <v>431</v>
      </c>
      <c r="E198">
        <v>291</v>
      </c>
      <c r="F198">
        <v>15.12</v>
      </c>
      <c r="G198">
        <v>569</v>
      </c>
      <c r="H198">
        <v>178</v>
      </c>
      <c r="I198">
        <v>17.314550561797802</v>
      </c>
      <c r="J198">
        <v>1.5844727906763301</v>
      </c>
      <c r="K198">
        <v>183.65730337078699</v>
      </c>
      <c r="L198" t="s">
        <v>788</v>
      </c>
      <c r="M198" t="s">
        <v>1359</v>
      </c>
      <c r="O198" t="s">
        <v>431</v>
      </c>
      <c r="P198">
        <v>1</v>
      </c>
      <c r="R198">
        <f t="shared" ref="R198" si="7">P198+Q198</f>
        <v>1</v>
      </c>
    </row>
  </sheetData>
  <autoFilter ref="A1:R198" xr:uid="{C1F8C9A6-C59A-6447-B3EE-636FAE85BD0D}">
    <filterColumn colId="12">
      <filters>
        <filter val="extra long due to repeats"/>
      </filters>
    </filterColumn>
  </autoFilter>
  <sortState xmlns:xlrd2="http://schemas.microsoft.com/office/spreadsheetml/2017/richdata2" ref="A2:L198">
    <sortCondition ref="L1:L198"/>
  </sortState>
  <phoneticPr fontId="5"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within orthogroups152</vt:lpstr>
      <vt:lpstr>between orthogroups152</vt:lpstr>
      <vt:lpstr>paralogs152</vt:lpstr>
      <vt:lpstr>rename</vt:lpstr>
      <vt:lpstr>multiple_orthogroups245</vt:lpstr>
      <vt:lpstr>no_annotation245 (chromosomes)</vt:lpstr>
      <vt:lpstr>long_genes245(chromosome)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Zhuli Cheng</dc:creator>
  <cp:lastModifiedBy>Zhuli Cheng</cp:lastModifiedBy>
  <cp:lastPrinted>2024-07-19T02:43:52Z</cp:lastPrinted>
  <dcterms:created xsi:type="dcterms:W3CDTF">2024-06-12T04:11:39Z</dcterms:created>
  <dcterms:modified xsi:type="dcterms:W3CDTF">2024-09-30T08:22:13Z</dcterms:modified>
</cp:coreProperties>
</file>